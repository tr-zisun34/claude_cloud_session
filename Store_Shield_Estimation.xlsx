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  <sheet name="Assump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Estimates assume Claude Code writes most of the code and you review, run and test it. Priority: Must = needed for the core demo; Should = strongly recommended; Could = only if time remains.</t>
        </r>
      </text>
    </comment>
  </commentList>
</comments>
</file>

<file path=xl/sharedStrings.xml><?xml version="1.0" encoding="utf-8"?>
<sst xmlns="http://schemas.openxmlformats.org/spreadsheetml/2006/main" count="387" uniqueCount="238">
  <si>
    <t xml:space="preserve">Store Shield - Development Estimate</t>
  </si>
  <si>
    <t xml:space="preserve">Build top to bottom; test each feature before moving on. Edit only the yellow columns (Status, Actual h). Hours are focused hands-on hours with Claude Code.</t>
  </si>
  <si>
    <t xml:space="preserve">Build #</t>
  </si>
  <si>
    <t xml:space="preserve">Module</t>
  </si>
  <si>
    <t xml:space="preserve">ID</t>
  </si>
  <si>
    <t xml:space="preserve">Feature</t>
  </si>
  <si>
    <t xml:space="preserve">Description</t>
  </si>
  <si>
    <t xml:space="preserve">Done when (test)</t>
  </si>
  <si>
    <t xml:space="preserve">Priority</t>
  </si>
  <si>
    <t xml:space="preserve">Estimate (h)</t>
  </si>
  <si>
    <t xml:space="preserve">Cumulative (h)</t>
  </si>
  <si>
    <t xml:space="preserve">Depends on</t>
  </si>
  <si>
    <t xml:space="preserve">Status</t>
  </si>
  <si>
    <t xml:space="preserve">Actual (h)</t>
  </si>
  <si>
    <t xml:space="preserve">Notes</t>
  </si>
  <si>
    <t xml:space="preserve">1. Foundation</t>
  </si>
  <si>
    <t xml:space="preserve">F1</t>
  </si>
  <si>
    <t xml:space="preserve">Create the app</t>
  </si>
  <si>
    <t xml:space="preserve">Generate the app with Shopify CLI (Remix + Polaris + Prisma template), connect it to your dev store and run it locally.</t>
  </si>
  <si>
    <t xml:space="preserve">App opens inside the dev store admin.</t>
  </si>
  <si>
    <t xml:space="preserve">Must</t>
  </si>
  <si>
    <t xml:space="preserve">-</t>
  </si>
  <si>
    <t xml:space="preserve">Not started</t>
  </si>
  <si>
    <t xml:space="preserve">F2</t>
  </si>
  <si>
    <t xml:space="preserve">Database tables</t>
  </si>
  <si>
    <t xml:space="preserve">Tables for visitor sessions, scored orders, fraud list, trust list, action log and settings.</t>
  </si>
  <si>
    <t xml:space="preserve">Migration runs; tables visible in Prisma Studio.</t>
  </si>
  <si>
    <t xml:space="preserve">F3</t>
  </si>
  <si>
    <t xml:space="preserve">Default settings</t>
  </si>
  <si>
    <t xml:space="preserve">Create default score cut-offs, points per factor and Test/Live mode per module on install.</t>
  </si>
  <si>
    <t xml:space="preserve">Settings row is created with defaults when the app is installed.</t>
  </si>
  <si>
    <t xml:space="preserve">F4</t>
  </si>
  <si>
    <t xml:space="preserve">Test store data</t>
  </si>
  <si>
    <t xml:space="preserve">Add sample products (including high-risk categories) and enable Shopify's test payment gateway.</t>
  </si>
  <si>
    <t xml:space="preserve">You can place a test order end to end.</t>
  </si>
  <si>
    <t xml:space="preserve">2. Gate - Bot Check</t>
  </si>
  <si>
    <t xml:space="preserve">G1</t>
  </si>
  <si>
    <t xml:space="preserve">Visitor script</t>
  </si>
  <si>
    <t xml:space="preserve">Theme app extension that loads a small script on every storefront page without slowing it, and gives each device an ID cookie.</t>
  </si>
  <si>
    <t xml:space="preserve">Script loads on all pages; device ID cookie is set; page speed unchanged.</t>
  </si>
  <si>
    <t xml:space="preserve">G2</t>
  </si>
  <si>
    <t xml:space="preserve">Browser signals</t>
  </si>
  <si>
    <t xml:space="preserve">Detect the automation flag (Selenium/Puppeteer/Playwright) and compute a canvas fingerprint.</t>
  </si>
  <si>
    <t xml:space="preserve">Normal Chrome shows no flag; a Playwright session shows the flag.</t>
  </si>
  <si>
    <t xml:space="preserve">G3</t>
  </si>
  <si>
    <t xml:space="preserve">Behaviour signals</t>
  </si>
  <si>
    <t xml:space="preserve">Record mouse movement, real vs code-triggered clicks, page-to-cart speed and typing rhythm.</t>
  </si>
  <si>
    <t xml:space="preserve">A human session shows mouse + real clicks; a script click is marked fake.</t>
  </si>
  <si>
    <t xml:space="preserve">G4</t>
  </si>
  <si>
    <t xml:space="preserve">Scoring API</t>
  </si>
  <si>
    <t xml:space="preserve">App Proxy endpoint that receives the signals, adds network checks (data-centre/VPN IP list, Tor list, page-burst counter) and returns a 0-100 score with reasons.</t>
  </si>
  <si>
    <t xml:space="preserve">Unit tests: known inputs give the expected scores.</t>
  </si>
  <si>
    <t xml:space="preserve">G2, G3, F3</t>
  </si>
  <si>
    <t xml:space="preserve">Uses Shopify App Proxy instead of a separate Cloudflare Worker to save setup time.</t>
  </si>
  <si>
    <t xml:space="preserve">G5</t>
  </si>
  <si>
    <t xml:space="preserve">Visitor log</t>
  </si>
  <si>
    <t xml:space="preserve">Save every scored visit: device, IP, score, reasons, action taken.</t>
  </si>
  <si>
    <t xml:space="preserve">Rows appear in the database after browsing the store.</t>
  </si>
  <si>
    <t xml:space="preserve">G6</t>
  </si>
  <si>
    <t xml:space="preserve">Challenge &amp; block</t>
  </si>
  <si>
    <t xml:space="preserve">Score 31-70: invisible Cloudflare Turnstile check. Score 71+: block page with a 'contact us' form. Test Mode only logs.</t>
  </si>
  <si>
    <t xml:space="preserve">Playwright bot sees the block page in Live Mode and nothing in Test Mode.</t>
  </si>
  <si>
    <t xml:space="preserve">Turnstile is free; needs a Cloudflare account for the site key.</t>
  </si>
  <si>
    <t xml:space="preserve">G7</t>
  </si>
  <si>
    <t xml:space="preserve">Pass score to order</t>
  </si>
  <si>
    <t xml:space="preserve">Save device ID and bot score as a hidden cart attribute so the order carries them.</t>
  </si>
  <si>
    <t xml:space="preserve">A test order shows the attribute in Shopify admin.</t>
  </si>
  <si>
    <t xml:space="preserve">G8</t>
  </si>
  <si>
    <t xml:space="preserve">Spy-extension detection</t>
  </si>
  <si>
    <t xml:space="preserve">Scan the page for markers left by competitor spy extensions (PPSpy, Koala Inspector, etc.).</t>
  </si>
  <si>
    <t xml:space="preserve">With a spy extension installed, the score goes up.</t>
  </si>
  <si>
    <t xml:space="preserve">Could</t>
  </si>
  <si>
    <t xml:space="preserve">Marker list must be researched per extension.</t>
  </si>
  <si>
    <t xml:space="preserve">3. Check - Fraud Score</t>
  </si>
  <si>
    <t xml:space="preserve">C1</t>
  </si>
  <si>
    <t xml:space="preserve">Order webhook</t>
  </si>
  <si>
    <t xml:space="preserve">Receive the 'order created' webhook and fetch full details: addresses, email, phone, IP, payment, items, customer history.</t>
  </si>
  <si>
    <t xml:space="preserve">Placing a test order logs its full details.</t>
  </si>
  <si>
    <t xml:space="preserve">C2</t>
  </si>
  <si>
    <t xml:space="preserve">Fraud-list match</t>
  </si>
  <si>
    <t xml:space="preserve">If the email, phone, address, card or device is on the fraud list, the order goes straight to High.</t>
  </si>
  <si>
    <t xml:space="preserve">An order using a listed email goes to High.</t>
  </si>
  <si>
    <t xml:space="preserve">C3</t>
  </si>
  <si>
    <t xml:space="preserve">Shopify risk</t>
  </si>
  <si>
    <t xml:space="preserve">Read Shopify's own fraud analysis: Medium +15, High +30.</t>
  </si>
  <si>
    <t xml:space="preserve">The log shows Shopify's risk level for each test order.</t>
  </si>
  <si>
    <t xml:space="preserve">Detail varies by payment gateway; richest with Shopify Payments.</t>
  </si>
  <si>
    <t xml:space="preserve">C4</t>
  </si>
  <si>
    <t xml:space="preserve">Warning signs</t>
  </si>
  <si>
    <t xml:space="preserve">Disposable email +25, IP vs billing country +20, billing vs shipping country +15, invalid/VoIP phone +15, new customer with order over 3x average +15.</t>
  </si>
  <si>
    <t xml:space="preserve">One test order per rule triggers the right points.</t>
  </si>
  <si>
    <t xml:space="preserve">Open-source disposable-email list; libphonenumber for phone checks.</t>
  </si>
  <si>
    <t xml:space="preserve">C5</t>
  </si>
  <si>
    <t xml:space="preserve">Bot carry-over</t>
  </si>
  <si>
    <t xml:space="preserve">Read the bot score from the cart attribute; a score of 31-70 adds +10.</t>
  </si>
  <si>
    <t xml:space="preserve">An order from a challenged session gets +10.</t>
  </si>
  <si>
    <t xml:space="preserve">C1, G7</t>
  </si>
  <si>
    <t xml:space="preserve">C6</t>
  </si>
  <si>
    <t xml:space="preserve">Score &amp; reasons</t>
  </si>
  <si>
    <t xml:space="preserve">Add up the points (0-100), choose Approve / Hold / Cancel and write plain-English reasons.</t>
  </si>
  <si>
    <t xml:space="preserve">Unit tests cover all three outcomes.</t>
  </si>
  <si>
    <t xml:space="preserve">C2, C3, C4, C5</t>
  </si>
  <si>
    <t xml:space="preserve">C7</t>
  </si>
  <si>
    <t xml:space="preserve">Hold order</t>
  </si>
  <si>
    <t xml:space="preserve">Put a fulfilment hold on the order and tag it 'Needs review'.</t>
  </si>
  <si>
    <t xml:space="preserve">A held order can't be fulfilled; the tag shows in Shopify.</t>
  </si>
  <si>
    <t xml:space="preserve">C8</t>
  </si>
  <si>
    <t xml:space="preserve">Auto-cancel</t>
  </si>
  <si>
    <t xml:space="preserve">Cancel, refund, restock and notify the customer. Setting to switch off (then it holds instead).</t>
  </si>
  <si>
    <t xml:space="preserve">A High test order is cancelled and refunded.</t>
  </si>
  <si>
    <t xml:space="preserve">C9</t>
  </si>
  <si>
    <t xml:space="preserve">Good signs</t>
  </si>
  <si>
    <t xml:space="preserve">Previous good orders -20; same card (last 4 + brand) and billing address on a past good order -15.</t>
  </si>
  <si>
    <t xml:space="preserve">A returning customer's score drops.</t>
  </si>
  <si>
    <t xml:space="preserve">Should</t>
  </si>
  <si>
    <t xml:space="preserve">Confirm which card details Shopify's API exposes.</t>
  </si>
  <si>
    <t xml:space="preserve">C10</t>
  </si>
  <si>
    <t xml:space="preserve">High-risk product limits</t>
  </si>
  <si>
    <t xml:space="preserve">Merchant picks easy-to-resell categories and sets quantity/price limits; going over adds +15.</t>
  </si>
  <si>
    <t xml:space="preserve">An order of 10 gift cards gets +15.</t>
  </si>
  <si>
    <t xml:space="preserve">C11</t>
  </si>
  <si>
    <t xml:space="preserve">Failed payment attempts</t>
  </si>
  <si>
    <t xml:space="preserve">+25 if the same card or email failed several times recently.</t>
  </si>
  <si>
    <t xml:space="preserve">Repeated declined test payments raise the score.</t>
  </si>
  <si>
    <t xml:space="preserve">Check first whether Shopify exposes failed attempts to apps.</t>
  </si>
  <si>
    <t xml:space="preserve">C12</t>
  </si>
  <si>
    <t xml:space="preserve">Show verdict in Shopify</t>
  </si>
  <si>
    <t xml:space="preserve">Write our score and reasons onto the order's risk section in Shopify admin.</t>
  </si>
  <si>
    <t xml:space="preserve">The Shopify order page shows our verdict.</t>
  </si>
  <si>
    <t xml:space="preserve">4. Dashboard</t>
  </si>
  <si>
    <t xml:space="preserve">D1</t>
  </si>
  <si>
    <t xml:space="preserve">Layout &amp; navigation</t>
  </si>
  <si>
    <t xml:space="preserve">Polaris pages: Overview, Review Queue, Bot Activity, Fraud List, Activity Log, Settings.</t>
  </si>
  <si>
    <t xml:space="preserve">Every page is reachable from the menu.</t>
  </si>
  <si>
    <t xml:space="preserve">D2</t>
  </si>
  <si>
    <t xml:space="preserve">Review queue</t>
  </si>
  <si>
    <t xml:space="preserve">List of held orders; detail view with score, reasons, phone and email; Approve and Cancel buttons.</t>
  </si>
  <si>
    <t xml:space="preserve">Approve releases the hold; Cancel cancels and refunds.</t>
  </si>
  <si>
    <t xml:space="preserve">C7, D1</t>
  </si>
  <si>
    <t xml:space="preserve">D3</t>
  </si>
  <si>
    <t xml:space="preserve">Bot activity</t>
  </si>
  <si>
    <t xml:space="preserve">Recent challenged/blocked visitors with reasons; Unblock button adds the device to the trust list.</t>
  </si>
  <si>
    <t xml:space="preserve">An unblocked device passes on its next visit.</t>
  </si>
  <si>
    <t xml:space="preserve">G5, D1</t>
  </si>
  <si>
    <t xml:space="preserve">D4</t>
  </si>
  <si>
    <t xml:space="preserve">Settings screen</t>
  </si>
  <si>
    <t xml:space="preserve">Edit cut-offs, points per factor, auto-cancel on/off, Test/Live per module, high-risk categories.</t>
  </si>
  <si>
    <t xml:space="preserve">Changing a cut-off changes the next decision.</t>
  </si>
  <si>
    <t xml:space="preserve">F3, D1</t>
  </si>
  <si>
    <t xml:space="preserve">D5</t>
  </si>
  <si>
    <t xml:space="preserve">Overview tiles</t>
  </si>
  <si>
    <t xml:space="preserve">Today / 7-day counts: visitors checked, bots blocked, orders approved / held / cancelled.</t>
  </si>
  <si>
    <t xml:space="preserve">Numbers match the database counts.</t>
  </si>
  <si>
    <t xml:space="preserve">G5, C6</t>
  </si>
  <si>
    <t xml:space="preserve">D6</t>
  </si>
  <si>
    <t xml:space="preserve">Activity log &amp; reinstate</t>
  </si>
  <si>
    <t xml:space="preserve">Every automatic action with its reason. 'Reinstate' for a wrongly cancelled order recreates it as a draft order and sends the customer a payment link.</t>
  </si>
  <si>
    <t xml:space="preserve">Reinstating creates a draft order and adds the customer to the trust list.</t>
  </si>
  <si>
    <t xml:space="preserve">C8, D1</t>
  </si>
  <si>
    <t xml:space="preserve">Shopify can't un-cancel an order, so reinstate means recreating it.</t>
  </si>
  <si>
    <t xml:space="preserve">5. Remember - Fraud Tagging</t>
  </si>
  <si>
    <t xml:space="preserve">R1</t>
  </si>
  <si>
    <t xml:space="preserve">Mark as Fraud</t>
  </si>
  <si>
    <t xml:space="preserve">Button on an order: cancel + refund if needed, tag the customer 'Fraud' in Shopify, save email, phone, addresses, card, device and IP to the fraud list.</t>
  </si>
  <si>
    <t xml:space="preserve">The next order with the same email goes straight to High.</t>
  </si>
  <si>
    <t xml:space="preserve">D2, C2</t>
  </si>
  <si>
    <t xml:space="preserve">R2</t>
  </si>
  <si>
    <t xml:space="preserve">Fraud list to Gate</t>
  </si>
  <si>
    <t xml:space="preserve">Devices on the fraud list get +40 at the Gate.</t>
  </si>
  <si>
    <t xml:space="preserve">A fraud-tagged device is challenged on its next visit.</t>
  </si>
  <si>
    <t xml:space="preserve">R1, G4</t>
  </si>
  <si>
    <t xml:space="preserve">R3</t>
  </si>
  <si>
    <t xml:space="preserve">Trust &amp; fraud list screen</t>
  </si>
  <si>
    <t xml:space="preserve">'Approve + Trust' button; Fraud List page with linked details and Remove; trusted customers skip checks.</t>
  </si>
  <si>
    <t xml:space="preserve">Removing an entry stops it matching.</t>
  </si>
  <si>
    <t xml:space="preserve">R1, D1</t>
  </si>
  <si>
    <t xml:space="preserve">6. Test &amp; Launch</t>
  </si>
  <si>
    <t xml:space="preserve">T1</t>
  </si>
  <si>
    <t xml:space="preserve">Bot test scripts</t>
  </si>
  <si>
    <t xml:space="preserve">Playwright scripts: plain headless browser, stealth browser, fast scraper.</t>
  </si>
  <si>
    <t xml:space="preserve">Each scenario lands in the expected score band.</t>
  </si>
  <si>
    <t xml:space="preserve">T2</t>
  </si>
  <si>
    <t xml:space="preserve">Fraud test orders</t>
  </si>
  <si>
    <t xml:space="preserve">Five scripted orders: clean, medium (hold), high (cancel), fraud-list hit, returning customer.</t>
  </si>
  <si>
    <t xml:space="preserve">Each order gets the expected outcome.</t>
  </si>
  <si>
    <t xml:space="preserve">C8, R1</t>
  </si>
  <si>
    <t xml:space="preserve">T3</t>
  </si>
  <si>
    <t xml:space="preserve">Full story walkthrough</t>
  </si>
  <si>
    <t xml:space="preserve">Run the example: stolen-card visit, hold, call, Mark as Fraud, return visit caught.</t>
  </si>
  <si>
    <t xml:space="preserve">The whole story works on the dev store.</t>
  </si>
  <si>
    <t xml:space="preserve">T1, T2</t>
  </si>
  <si>
    <t xml:space="preserve">T4</t>
  </si>
  <si>
    <t xml:space="preserve">Deploy</t>
  </si>
  <si>
    <t xml:space="preserve">Host the app (e.g. Fly.io or Render) with a production database; point webhooks and the app proxy at it.</t>
  </si>
  <si>
    <t xml:space="preserve">The dev store works against the hosted app.</t>
  </si>
  <si>
    <t xml:space="preserve">T5</t>
  </si>
  <si>
    <t xml:space="preserve">Bug-fix buffer</t>
  </si>
  <si>
    <t xml:space="preserve">Time reserved for problems found during testing.</t>
  </si>
  <si>
    <t xml:space="preserve">TOTAL (all features)</t>
  </si>
  <si>
    <t xml:space="preserve">Summary</t>
  </si>
  <si>
    <t xml:space="preserve">Features</t>
  </si>
  <si>
    <t xml:space="preserve">Must (h)</t>
  </si>
  <si>
    <t xml:space="preserve">Should (h)</t>
  </si>
  <si>
    <t xml:space="preserve">Could (h)</t>
  </si>
  <si>
    <t xml:space="preserve">Total (h)</t>
  </si>
  <si>
    <t xml:space="preserve">TOTAL</t>
  </si>
  <si>
    <t xml:space="preserve">Scenarios</t>
  </si>
  <si>
    <t xml:space="preserve">Target upper limit (h)</t>
  </si>
  <si>
    <t xml:space="preserve">Your stated range is 50-60 h; change if needed.</t>
  </si>
  <si>
    <t xml:space="preserve">Must only (core demo)</t>
  </si>
  <si>
    <t xml:space="preserve">Must + Should (recommended)</t>
  </si>
  <si>
    <t xml:space="preserve">Everything</t>
  </si>
  <si>
    <t xml:space="preserve">Progress</t>
  </si>
  <si>
    <t xml:space="preserve">Estimated hours of features marked Done</t>
  </si>
  <si>
    <t xml:space="preserve">Planned hours (Must + Should)</t>
  </si>
  <si>
    <t xml:space="preserve">% complete (of Must + Should)</t>
  </si>
  <si>
    <t xml:space="preserve">Actual hours logged</t>
  </si>
  <si>
    <t xml:space="preserve">Assumptions &amp; Risks</t>
  </si>
  <si>
    <t xml:space="preserve">Way of working</t>
  </si>
  <si>
    <t xml:space="preserve">Claude Code writes most of the code; you review, run and test each feature before starting the next.</t>
  </si>
  <si>
    <t xml:space="preserve">Hours</t>
  </si>
  <si>
    <t xml:space="preserve">Focused hands-on hours, not calendar time. Source: estimate based on the agreed feature list, not measured data.</t>
  </si>
  <si>
    <t xml:space="preserve">Ready before hour 0</t>
  </si>
  <si>
    <t xml:space="preserve">Shopify Partner account, a development store, and a Cloudflare account (for Turnstile) already exist.</t>
  </si>
  <si>
    <t xml:space="preserve">Stack</t>
  </si>
  <si>
    <t xml:space="preserve">Shopify CLI Remix template (Remix + Polaris + Prisma). SQLite locally, Postgres when deployed.</t>
  </si>
  <si>
    <t xml:space="preserve">Simplification</t>
  </si>
  <si>
    <t xml:space="preserve">Bot scoring runs on the app server via Shopify App Proxy instead of a separate edge worker. Slightly slower, much faster to build.</t>
  </si>
  <si>
    <t xml:space="preserve">Free data sources</t>
  </si>
  <si>
    <t xml:space="preserve">Public cloud-provider IP ranges (data-centre check), public Tor exit list, open-source disposable-email list, libphonenumber.</t>
  </si>
  <si>
    <t xml:space="preserve">Not included</t>
  </si>
  <si>
    <t xml:space="preserve">Shopify App Store listing and review, billing/pricing plans, legal/privacy review, fake-data-for-scrapers feature (v2).</t>
  </si>
  <si>
    <t xml:space="preserve">Risk: Shopify setup</t>
  </si>
  <si>
    <t xml:space="preserve">App proxy, theme app extension and webhook setup can take longer the first time. Covered by the bug-fix buffer (T5).</t>
  </si>
  <si>
    <t xml:space="preserve">Risk: API limits</t>
  </si>
  <si>
    <t xml:space="preserve">Card details (C9) and failed payment attempts (C11) depend on what Shopify exposes. Check before building.</t>
  </si>
  <si>
    <t xml:space="preserve">Risk: cancel is final</t>
  </si>
  <si>
    <t xml:space="preserve">Shopify can't un-cancel an order; 'Reinstate' (D6) recreates it as a draft order with a payment link.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</si>
</sst>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4" min="4" style="0" width="24"/>
    <col collapsed="false" customWidth="true" hidden="false" outlineLevel="0" max="5" min="5" style="0" width="52"/>
    <col collapsed="false" customWidth="true" hidden="false" outlineLevel="0" max="6" min="6" style="0" width="38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3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/>
      <c r="B5" s="4" t="s">
        <v>15</v>
      </c>
      <c r="C5" s="4"/>
      <c r="D5" s="4" t="s">
        <v>15</v>
      </c>
      <c r="E5" s="4"/>
      <c r="F5" s="4"/>
      <c r="G5" s="4"/>
      <c r="H5" s="5" t="n">
        <f aca="false">SUM(H6:H9)</f>
        <v>5</v>
      </c>
      <c r="I5" s="4"/>
      <c r="J5" s="4"/>
      <c r="K5" s="4"/>
      <c r="L5" s="5" t="n">
        <f aca="false">SUM(L6:L9)</f>
        <v>0</v>
      </c>
      <c r="M5" s="4"/>
    </row>
    <row r="6" customFormat="false" ht="39.55" hidden="false" customHeight="false" outlineLevel="0" collapsed="false">
      <c r="A6" s="6" t="n">
        <v>1</v>
      </c>
      <c r="B6" s="7" t="s">
        <v>15</v>
      </c>
      <c r="C6" s="6" t="s">
        <v>16</v>
      </c>
      <c r="D6" s="7" t="s">
        <v>17</v>
      </c>
      <c r="E6" s="7" t="s">
        <v>18</v>
      </c>
      <c r="F6" s="7" t="s">
        <v>19</v>
      </c>
      <c r="G6" s="6" t="s">
        <v>20</v>
      </c>
      <c r="H6" s="8" t="n">
        <v>2</v>
      </c>
      <c r="I6" s="9" t="n">
        <f aca="false">SUMIFS($H$5:H6,$G$5:G6,"&lt;&gt;")</f>
        <v>2</v>
      </c>
      <c r="J6" s="7" t="s">
        <v>21</v>
      </c>
      <c r="K6" s="10" t="s">
        <v>22</v>
      </c>
      <c r="L6" s="11"/>
      <c r="M6" s="7"/>
    </row>
    <row r="7" customFormat="false" ht="26.85" hidden="false" customHeight="false" outlineLevel="0" collapsed="false">
      <c r="A7" s="6" t="n">
        <v>2</v>
      </c>
      <c r="B7" s="7" t="s">
        <v>15</v>
      </c>
      <c r="C7" s="6" t="s">
        <v>23</v>
      </c>
      <c r="D7" s="7" t="s">
        <v>24</v>
      </c>
      <c r="E7" s="7" t="s">
        <v>25</v>
      </c>
      <c r="F7" s="7" t="s">
        <v>26</v>
      </c>
      <c r="G7" s="6" t="s">
        <v>20</v>
      </c>
      <c r="H7" s="8" t="n">
        <v>1.5</v>
      </c>
      <c r="I7" s="9" t="n">
        <f aca="false">SUMIFS($H$5:H7,$G$5:G7,"&lt;&gt;")</f>
        <v>3.5</v>
      </c>
      <c r="J7" s="7" t="s">
        <v>16</v>
      </c>
      <c r="K7" s="10" t="s">
        <v>22</v>
      </c>
      <c r="L7" s="11"/>
      <c r="M7" s="7"/>
    </row>
    <row r="8" customFormat="false" ht="26.85" hidden="false" customHeight="false" outlineLevel="0" collapsed="false">
      <c r="A8" s="6" t="n">
        <v>3</v>
      </c>
      <c r="B8" s="7" t="s">
        <v>15</v>
      </c>
      <c r="C8" s="6" t="s">
        <v>27</v>
      </c>
      <c r="D8" s="7" t="s">
        <v>28</v>
      </c>
      <c r="E8" s="7" t="s">
        <v>29</v>
      </c>
      <c r="F8" s="7" t="s">
        <v>30</v>
      </c>
      <c r="G8" s="6" t="s">
        <v>20</v>
      </c>
      <c r="H8" s="8" t="n">
        <v>0.5</v>
      </c>
      <c r="I8" s="9" t="n">
        <f aca="false">SUMIFS($H$5:H8,$G$5:G8,"&lt;&gt;")</f>
        <v>4</v>
      </c>
      <c r="J8" s="7" t="s">
        <v>23</v>
      </c>
      <c r="K8" s="10" t="s">
        <v>22</v>
      </c>
      <c r="L8" s="11"/>
      <c r="M8" s="7"/>
    </row>
    <row r="9" customFormat="false" ht="26.85" hidden="false" customHeight="false" outlineLevel="0" collapsed="false">
      <c r="A9" s="6" t="n">
        <v>4</v>
      </c>
      <c r="B9" s="7" t="s">
        <v>15</v>
      </c>
      <c r="C9" s="6" t="s">
        <v>31</v>
      </c>
      <c r="D9" s="7" t="s">
        <v>32</v>
      </c>
      <c r="E9" s="7" t="s">
        <v>33</v>
      </c>
      <c r="F9" s="7" t="s">
        <v>34</v>
      </c>
      <c r="G9" s="6" t="s">
        <v>20</v>
      </c>
      <c r="H9" s="8" t="n">
        <v>1</v>
      </c>
      <c r="I9" s="9" t="n">
        <f aca="false">SUMIFS($H$5:H9,$G$5:G9,"&lt;&gt;")</f>
        <v>5</v>
      </c>
      <c r="J9" s="7" t="s">
        <v>16</v>
      </c>
      <c r="K9" s="10" t="s">
        <v>22</v>
      </c>
      <c r="L9" s="11"/>
      <c r="M9" s="7"/>
    </row>
    <row r="10" customFormat="false" ht="15" hidden="false" customHeight="false" outlineLevel="0" collapsed="false">
      <c r="A10" s="4"/>
      <c r="B10" s="4" t="s">
        <v>35</v>
      </c>
      <c r="C10" s="4"/>
      <c r="D10" s="4" t="s">
        <v>35</v>
      </c>
      <c r="E10" s="4"/>
      <c r="F10" s="4"/>
      <c r="G10" s="4"/>
      <c r="H10" s="5" t="n">
        <f aca="false">SUM(H11:H18)</f>
        <v>13.5</v>
      </c>
      <c r="I10" s="4"/>
      <c r="J10" s="4"/>
      <c r="K10" s="4"/>
      <c r="L10" s="5" t="n">
        <f aca="false">SUM(L11:L18)</f>
        <v>0</v>
      </c>
      <c r="M10" s="4"/>
    </row>
    <row r="11" customFormat="false" ht="39.55" hidden="false" customHeight="false" outlineLevel="0" collapsed="false">
      <c r="A11" s="6" t="n">
        <v>5</v>
      </c>
      <c r="B11" s="7" t="s">
        <v>35</v>
      </c>
      <c r="C11" s="6" t="s">
        <v>36</v>
      </c>
      <c r="D11" s="7" t="s">
        <v>37</v>
      </c>
      <c r="E11" s="7" t="s">
        <v>38</v>
      </c>
      <c r="F11" s="7" t="s">
        <v>39</v>
      </c>
      <c r="G11" s="6" t="s">
        <v>20</v>
      </c>
      <c r="H11" s="8" t="n">
        <v>2</v>
      </c>
      <c r="I11" s="9" t="n">
        <f aca="false">SUMIFS($H$5:H11,$G$5:G11,"&lt;&gt;")</f>
        <v>7</v>
      </c>
      <c r="J11" s="7" t="s">
        <v>16</v>
      </c>
      <c r="K11" s="10" t="s">
        <v>22</v>
      </c>
      <c r="L11" s="11"/>
      <c r="M11" s="7"/>
    </row>
    <row r="12" customFormat="false" ht="39.55" hidden="false" customHeight="false" outlineLevel="0" collapsed="false">
      <c r="A12" s="6" t="n">
        <v>6</v>
      </c>
      <c r="B12" s="7" t="s">
        <v>35</v>
      </c>
      <c r="C12" s="6" t="s">
        <v>40</v>
      </c>
      <c r="D12" s="7" t="s">
        <v>41</v>
      </c>
      <c r="E12" s="7" t="s">
        <v>42</v>
      </c>
      <c r="F12" s="7" t="s">
        <v>43</v>
      </c>
      <c r="G12" s="6" t="s">
        <v>20</v>
      </c>
      <c r="H12" s="8" t="n">
        <v>1.5</v>
      </c>
      <c r="I12" s="9" t="n">
        <f aca="false">SUMIFS($H$5:H12,$G$5:G12,"&lt;&gt;")</f>
        <v>8.5</v>
      </c>
      <c r="J12" s="7" t="s">
        <v>36</v>
      </c>
      <c r="K12" s="10" t="s">
        <v>22</v>
      </c>
      <c r="L12" s="11"/>
      <c r="M12" s="7"/>
    </row>
    <row r="13" customFormat="false" ht="26.85" hidden="false" customHeight="false" outlineLevel="0" collapsed="false">
      <c r="A13" s="6" t="n">
        <v>7</v>
      </c>
      <c r="B13" s="7" t="s">
        <v>35</v>
      </c>
      <c r="C13" s="6" t="s">
        <v>44</v>
      </c>
      <c r="D13" s="7" t="s">
        <v>45</v>
      </c>
      <c r="E13" s="7" t="s">
        <v>46</v>
      </c>
      <c r="F13" s="7" t="s">
        <v>47</v>
      </c>
      <c r="G13" s="6" t="s">
        <v>20</v>
      </c>
      <c r="H13" s="8" t="n">
        <v>2</v>
      </c>
      <c r="I13" s="9" t="n">
        <f aca="false">SUMIFS($H$5:H13,$G$5:G13,"&lt;&gt;")</f>
        <v>10.5</v>
      </c>
      <c r="J13" s="7" t="s">
        <v>36</v>
      </c>
      <c r="K13" s="10" t="s">
        <v>22</v>
      </c>
      <c r="L13" s="11"/>
      <c r="M13" s="7"/>
    </row>
    <row r="14" customFormat="false" ht="39.55" hidden="false" customHeight="false" outlineLevel="0" collapsed="false">
      <c r="A14" s="6" t="n">
        <v>8</v>
      </c>
      <c r="B14" s="7" t="s">
        <v>35</v>
      </c>
      <c r="C14" s="6" t="s">
        <v>48</v>
      </c>
      <c r="D14" s="7" t="s">
        <v>49</v>
      </c>
      <c r="E14" s="7" t="s">
        <v>50</v>
      </c>
      <c r="F14" s="7" t="s">
        <v>51</v>
      </c>
      <c r="G14" s="6" t="s">
        <v>20</v>
      </c>
      <c r="H14" s="8" t="n">
        <v>3</v>
      </c>
      <c r="I14" s="9" t="n">
        <f aca="false">SUMIFS($H$5:H14,$G$5:G14,"&lt;&gt;")</f>
        <v>13.5</v>
      </c>
      <c r="J14" s="7" t="s">
        <v>52</v>
      </c>
      <c r="K14" s="10" t="s">
        <v>22</v>
      </c>
      <c r="L14" s="11"/>
      <c r="M14" s="7" t="s">
        <v>53</v>
      </c>
    </row>
    <row r="15" customFormat="false" ht="26.85" hidden="false" customHeight="false" outlineLevel="0" collapsed="false">
      <c r="A15" s="6" t="n">
        <v>9</v>
      </c>
      <c r="B15" s="7" t="s">
        <v>35</v>
      </c>
      <c r="C15" s="6" t="s">
        <v>54</v>
      </c>
      <c r="D15" s="7" t="s">
        <v>55</v>
      </c>
      <c r="E15" s="7" t="s">
        <v>56</v>
      </c>
      <c r="F15" s="7" t="s">
        <v>57</v>
      </c>
      <c r="G15" s="6" t="s">
        <v>20</v>
      </c>
      <c r="H15" s="8" t="n">
        <v>0.5</v>
      </c>
      <c r="I15" s="9" t="n">
        <f aca="false">SUMIFS($H$5:H15,$G$5:G15,"&lt;&gt;")</f>
        <v>14</v>
      </c>
      <c r="J15" s="7" t="s">
        <v>48</v>
      </c>
      <c r="K15" s="10" t="s">
        <v>22</v>
      </c>
      <c r="L15" s="11"/>
      <c r="M15" s="7"/>
    </row>
    <row r="16" customFormat="false" ht="39.55" hidden="false" customHeight="false" outlineLevel="0" collapsed="false">
      <c r="A16" s="6" t="n">
        <v>10</v>
      </c>
      <c r="B16" s="7" t="s">
        <v>35</v>
      </c>
      <c r="C16" s="6" t="s">
        <v>58</v>
      </c>
      <c r="D16" s="7" t="s">
        <v>59</v>
      </c>
      <c r="E16" s="7" t="s">
        <v>60</v>
      </c>
      <c r="F16" s="7" t="s">
        <v>61</v>
      </c>
      <c r="G16" s="6" t="s">
        <v>20</v>
      </c>
      <c r="H16" s="8" t="n">
        <v>2.5</v>
      </c>
      <c r="I16" s="9" t="n">
        <f aca="false">SUMIFS($H$5:H16,$G$5:G16,"&lt;&gt;")</f>
        <v>16.5</v>
      </c>
      <c r="J16" s="7" t="s">
        <v>48</v>
      </c>
      <c r="K16" s="10" t="s">
        <v>22</v>
      </c>
      <c r="L16" s="11"/>
      <c r="M16" s="7" t="s">
        <v>62</v>
      </c>
    </row>
    <row r="17" customFormat="false" ht="26.85" hidden="false" customHeight="false" outlineLevel="0" collapsed="false">
      <c r="A17" s="6" t="n">
        <v>11</v>
      </c>
      <c r="B17" s="7" t="s">
        <v>35</v>
      </c>
      <c r="C17" s="6" t="s">
        <v>63</v>
      </c>
      <c r="D17" s="7" t="s">
        <v>64</v>
      </c>
      <c r="E17" s="7" t="s">
        <v>65</v>
      </c>
      <c r="F17" s="7" t="s">
        <v>66</v>
      </c>
      <c r="G17" s="6" t="s">
        <v>20</v>
      </c>
      <c r="H17" s="8" t="n">
        <v>1</v>
      </c>
      <c r="I17" s="9" t="n">
        <f aca="false">SUMIFS($H$5:H17,$G$5:G17,"&lt;&gt;")</f>
        <v>17.5</v>
      </c>
      <c r="J17" s="7" t="s">
        <v>48</v>
      </c>
      <c r="K17" s="10" t="s">
        <v>22</v>
      </c>
      <c r="L17" s="11"/>
      <c r="M17" s="7"/>
    </row>
    <row r="18" customFormat="false" ht="26.85" hidden="false" customHeight="false" outlineLevel="0" collapsed="false">
      <c r="A18" s="6" t="n">
        <v>12</v>
      </c>
      <c r="B18" s="7" t="s">
        <v>35</v>
      </c>
      <c r="C18" s="6" t="s">
        <v>67</v>
      </c>
      <c r="D18" s="7" t="s">
        <v>68</v>
      </c>
      <c r="E18" s="7" t="s">
        <v>69</v>
      </c>
      <c r="F18" s="7" t="s">
        <v>70</v>
      </c>
      <c r="G18" s="6" t="s">
        <v>71</v>
      </c>
      <c r="H18" s="8" t="n">
        <v>1</v>
      </c>
      <c r="I18" s="9" t="n">
        <f aca="false">SUMIFS($H$5:H18,$G$5:G18,"&lt;&gt;")</f>
        <v>18.5</v>
      </c>
      <c r="J18" s="7" t="s">
        <v>44</v>
      </c>
      <c r="K18" s="10" t="s">
        <v>22</v>
      </c>
      <c r="L18" s="11"/>
      <c r="M18" s="7" t="s">
        <v>72</v>
      </c>
    </row>
    <row r="19" customFormat="false" ht="26.85" hidden="false" customHeight="false" outlineLevel="0" collapsed="false">
      <c r="A19" s="4"/>
      <c r="B19" s="4" t="s">
        <v>73</v>
      </c>
      <c r="C19" s="4"/>
      <c r="D19" s="4" t="s">
        <v>73</v>
      </c>
      <c r="E19" s="4"/>
      <c r="F19" s="4"/>
      <c r="G19" s="4"/>
      <c r="H19" s="5" t="n">
        <f aca="false">SUM(H20:H31)</f>
        <v>15</v>
      </c>
      <c r="I19" s="4"/>
      <c r="J19" s="4"/>
      <c r="K19" s="4"/>
      <c r="L19" s="5" t="n">
        <f aca="false">SUM(L20:L31)</f>
        <v>0</v>
      </c>
      <c r="M19" s="4"/>
    </row>
    <row r="20" customFormat="false" ht="39.55" hidden="false" customHeight="false" outlineLevel="0" collapsed="false">
      <c r="A20" s="6" t="n">
        <v>13</v>
      </c>
      <c r="B20" s="7" t="s">
        <v>73</v>
      </c>
      <c r="C20" s="6" t="s">
        <v>74</v>
      </c>
      <c r="D20" s="7" t="s">
        <v>75</v>
      </c>
      <c r="E20" s="7" t="s">
        <v>76</v>
      </c>
      <c r="F20" s="7" t="s">
        <v>77</v>
      </c>
      <c r="G20" s="6" t="s">
        <v>20</v>
      </c>
      <c r="H20" s="8" t="n">
        <v>1.5</v>
      </c>
      <c r="I20" s="9" t="n">
        <f aca="false">SUMIFS($H$5:H20,$G$5:G20,"&lt;&gt;")</f>
        <v>20</v>
      </c>
      <c r="J20" s="7" t="s">
        <v>16</v>
      </c>
      <c r="K20" s="10" t="s">
        <v>22</v>
      </c>
      <c r="L20" s="11"/>
      <c r="M20" s="7"/>
    </row>
    <row r="21" customFormat="false" ht="26.85" hidden="false" customHeight="false" outlineLevel="0" collapsed="false">
      <c r="A21" s="6" t="n">
        <v>14</v>
      </c>
      <c r="B21" s="7" t="s">
        <v>73</v>
      </c>
      <c r="C21" s="6" t="s">
        <v>78</v>
      </c>
      <c r="D21" s="7" t="s">
        <v>79</v>
      </c>
      <c r="E21" s="7" t="s">
        <v>80</v>
      </c>
      <c r="F21" s="7" t="s">
        <v>81</v>
      </c>
      <c r="G21" s="6" t="s">
        <v>20</v>
      </c>
      <c r="H21" s="8" t="n">
        <v>1</v>
      </c>
      <c r="I21" s="9" t="n">
        <f aca="false">SUMIFS($H$5:H21,$G$5:G21,"&lt;&gt;")</f>
        <v>21</v>
      </c>
      <c r="J21" s="7" t="s">
        <v>74</v>
      </c>
      <c r="K21" s="10" t="s">
        <v>22</v>
      </c>
      <c r="L21" s="11"/>
      <c r="M21" s="7"/>
    </row>
    <row r="22" customFormat="false" ht="26.85" hidden="false" customHeight="false" outlineLevel="0" collapsed="false">
      <c r="A22" s="6" t="n">
        <v>15</v>
      </c>
      <c r="B22" s="7" t="s">
        <v>73</v>
      </c>
      <c r="C22" s="6" t="s">
        <v>82</v>
      </c>
      <c r="D22" s="7" t="s">
        <v>83</v>
      </c>
      <c r="E22" s="7" t="s">
        <v>84</v>
      </c>
      <c r="F22" s="7" t="s">
        <v>85</v>
      </c>
      <c r="G22" s="6" t="s">
        <v>20</v>
      </c>
      <c r="H22" s="8" t="n">
        <v>1</v>
      </c>
      <c r="I22" s="9" t="n">
        <f aca="false">SUMIFS($H$5:H22,$G$5:G22,"&lt;&gt;")</f>
        <v>22</v>
      </c>
      <c r="J22" s="7" t="s">
        <v>74</v>
      </c>
      <c r="K22" s="10" t="s">
        <v>22</v>
      </c>
      <c r="L22" s="11"/>
      <c r="M22" s="7" t="s">
        <v>86</v>
      </c>
    </row>
    <row r="23" customFormat="false" ht="39.55" hidden="false" customHeight="false" outlineLevel="0" collapsed="false">
      <c r="A23" s="6" t="n">
        <v>16</v>
      </c>
      <c r="B23" s="7" t="s">
        <v>73</v>
      </c>
      <c r="C23" s="6" t="s">
        <v>87</v>
      </c>
      <c r="D23" s="7" t="s">
        <v>88</v>
      </c>
      <c r="E23" s="7" t="s">
        <v>89</v>
      </c>
      <c r="F23" s="7" t="s">
        <v>90</v>
      </c>
      <c r="G23" s="6" t="s">
        <v>20</v>
      </c>
      <c r="H23" s="8" t="n">
        <v>2.5</v>
      </c>
      <c r="I23" s="9" t="n">
        <f aca="false">SUMIFS($H$5:H23,$G$5:G23,"&lt;&gt;")</f>
        <v>24.5</v>
      </c>
      <c r="J23" s="7" t="s">
        <v>74</v>
      </c>
      <c r="K23" s="10" t="s">
        <v>22</v>
      </c>
      <c r="L23" s="11"/>
      <c r="M23" s="7" t="s">
        <v>91</v>
      </c>
    </row>
    <row r="24" customFormat="false" ht="26.85" hidden="false" customHeight="false" outlineLevel="0" collapsed="false">
      <c r="A24" s="6" t="n">
        <v>17</v>
      </c>
      <c r="B24" s="7" t="s">
        <v>73</v>
      </c>
      <c r="C24" s="6" t="s">
        <v>92</v>
      </c>
      <c r="D24" s="7" t="s">
        <v>93</v>
      </c>
      <c r="E24" s="7" t="s">
        <v>94</v>
      </c>
      <c r="F24" s="7" t="s">
        <v>95</v>
      </c>
      <c r="G24" s="6" t="s">
        <v>20</v>
      </c>
      <c r="H24" s="8" t="n">
        <v>0.5</v>
      </c>
      <c r="I24" s="9" t="n">
        <f aca="false">SUMIFS($H$5:H24,$G$5:G24,"&lt;&gt;")</f>
        <v>25</v>
      </c>
      <c r="J24" s="7" t="s">
        <v>96</v>
      </c>
      <c r="K24" s="10" t="s">
        <v>22</v>
      </c>
      <c r="L24" s="11"/>
      <c r="M24" s="7"/>
    </row>
    <row r="25" customFormat="false" ht="26.85" hidden="false" customHeight="false" outlineLevel="0" collapsed="false">
      <c r="A25" s="6" t="n">
        <v>18</v>
      </c>
      <c r="B25" s="7" t="s">
        <v>73</v>
      </c>
      <c r="C25" s="6" t="s">
        <v>97</v>
      </c>
      <c r="D25" s="7" t="s">
        <v>98</v>
      </c>
      <c r="E25" s="7" t="s">
        <v>99</v>
      </c>
      <c r="F25" s="7" t="s">
        <v>100</v>
      </c>
      <c r="G25" s="6" t="s">
        <v>20</v>
      </c>
      <c r="H25" s="8" t="n">
        <v>1</v>
      </c>
      <c r="I25" s="9" t="n">
        <f aca="false">SUMIFS($H$5:H25,$G$5:G25,"&lt;&gt;")</f>
        <v>26</v>
      </c>
      <c r="J25" s="7" t="s">
        <v>101</v>
      </c>
      <c r="K25" s="10" t="s">
        <v>22</v>
      </c>
      <c r="L25" s="11"/>
      <c r="M25" s="7"/>
    </row>
    <row r="26" customFormat="false" ht="26.85" hidden="false" customHeight="false" outlineLevel="0" collapsed="false">
      <c r="A26" s="6" t="n">
        <v>19</v>
      </c>
      <c r="B26" s="7" t="s">
        <v>73</v>
      </c>
      <c r="C26" s="6" t="s">
        <v>102</v>
      </c>
      <c r="D26" s="7" t="s">
        <v>103</v>
      </c>
      <c r="E26" s="7" t="s">
        <v>104</v>
      </c>
      <c r="F26" s="7" t="s">
        <v>105</v>
      </c>
      <c r="G26" s="6" t="s">
        <v>20</v>
      </c>
      <c r="H26" s="8" t="n">
        <v>1.5</v>
      </c>
      <c r="I26" s="9" t="n">
        <f aca="false">SUMIFS($H$5:H26,$G$5:G26,"&lt;&gt;")</f>
        <v>27.5</v>
      </c>
      <c r="J26" s="7" t="s">
        <v>97</v>
      </c>
      <c r="K26" s="10" t="s">
        <v>22</v>
      </c>
      <c r="L26" s="11"/>
      <c r="M26" s="7"/>
    </row>
    <row r="27" customFormat="false" ht="26.85" hidden="false" customHeight="false" outlineLevel="0" collapsed="false">
      <c r="A27" s="6" t="n">
        <v>20</v>
      </c>
      <c r="B27" s="7" t="s">
        <v>73</v>
      </c>
      <c r="C27" s="6" t="s">
        <v>106</v>
      </c>
      <c r="D27" s="7" t="s">
        <v>107</v>
      </c>
      <c r="E27" s="7" t="s">
        <v>108</v>
      </c>
      <c r="F27" s="7" t="s">
        <v>109</v>
      </c>
      <c r="G27" s="6" t="s">
        <v>20</v>
      </c>
      <c r="H27" s="8" t="n">
        <v>1.5</v>
      </c>
      <c r="I27" s="9" t="n">
        <f aca="false">SUMIFS($H$5:H27,$G$5:G27,"&lt;&gt;")</f>
        <v>29</v>
      </c>
      <c r="J27" s="7" t="s">
        <v>97</v>
      </c>
      <c r="K27" s="10" t="s">
        <v>22</v>
      </c>
      <c r="L27" s="11"/>
      <c r="M27" s="7"/>
    </row>
    <row r="28" customFormat="false" ht="26.85" hidden="false" customHeight="false" outlineLevel="0" collapsed="false">
      <c r="A28" s="6" t="n">
        <v>21</v>
      </c>
      <c r="B28" s="7" t="s">
        <v>73</v>
      </c>
      <c r="C28" s="6" t="s">
        <v>110</v>
      </c>
      <c r="D28" s="7" t="s">
        <v>111</v>
      </c>
      <c r="E28" s="7" t="s">
        <v>112</v>
      </c>
      <c r="F28" s="7" t="s">
        <v>113</v>
      </c>
      <c r="G28" s="6" t="s">
        <v>114</v>
      </c>
      <c r="H28" s="8" t="n">
        <v>1.5</v>
      </c>
      <c r="I28" s="9" t="n">
        <f aca="false">SUMIFS($H$5:H28,$G$5:G28,"&lt;&gt;")</f>
        <v>30.5</v>
      </c>
      <c r="J28" s="7" t="s">
        <v>97</v>
      </c>
      <c r="K28" s="10" t="s">
        <v>22</v>
      </c>
      <c r="L28" s="11"/>
      <c r="M28" s="7" t="s">
        <v>115</v>
      </c>
    </row>
    <row r="29" customFormat="false" ht="26.85" hidden="false" customHeight="false" outlineLevel="0" collapsed="false">
      <c r="A29" s="6" t="n">
        <v>22</v>
      </c>
      <c r="B29" s="7" t="s">
        <v>73</v>
      </c>
      <c r="C29" s="6" t="s">
        <v>116</v>
      </c>
      <c r="D29" s="7" t="s">
        <v>117</v>
      </c>
      <c r="E29" s="7" t="s">
        <v>118</v>
      </c>
      <c r="F29" s="7" t="s">
        <v>119</v>
      </c>
      <c r="G29" s="6" t="s">
        <v>114</v>
      </c>
      <c r="H29" s="8" t="n">
        <v>1</v>
      </c>
      <c r="I29" s="9" t="n">
        <f aca="false">SUMIFS($H$5:H29,$G$5:G29,"&lt;&gt;")</f>
        <v>31.5</v>
      </c>
      <c r="J29" s="7" t="s">
        <v>97</v>
      </c>
      <c r="K29" s="10" t="s">
        <v>22</v>
      </c>
      <c r="L29" s="11"/>
      <c r="M29" s="7"/>
    </row>
    <row r="30" customFormat="false" ht="26.85" hidden="false" customHeight="false" outlineLevel="0" collapsed="false">
      <c r="A30" s="6" t="n">
        <v>23</v>
      </c>
      <c r="B30" s="7" t="s">
        <v>73</v>
      </c>
      <c r="C30" s="6" t="s">
        <v>120</v>
      </c>
      <c r="D30" s="7" t="s">
        <v>121</v>
      </c>
      <c r="E30" s="7" t="s">
        <v>122</v>
      </c>
      <c r="F30" s="7" t="s">
        <v>123</v>
      </c>
      <c r="G30" s="6" t="s">
        <v>71</v>
      </c>
      <c r="H30" s="8" t="n">
        <v>1</v>
      </c>
      <c r="I30" s="9" t="n">
        <f aca="false">SUMIFS($H$5:H30,$G$5:G30,"&lt;&gt;")</f>
        <v>32.5</v>
      </c>
      <c r="J30" s="7" t="s">
        <v>97</v>
      </c>
      <c r="K30" s="10" t="s">
        <v>22</v>
      </c>
      <c r="L30" s="11"/>
      <c r="M30" s="7" t="s">
        <v>124</v>
      </c>
    </row>
    <row r="31" customFormat="false" ht="26.85" hidden="false" customHeight="false" outlineLevel="0" collapsed="false">
      <c r="A31" s="6" t="n">
        <v>24</v>
      </c>
      <c r="B31" s="7" t="s">
        <v>73</v>
      </c>
      <c r="C31" s="6" t="s">
        <v>125</v>
      </c>
      <c r="D31" s="7" t="s">
        <v>126</v>
      </c>
      <c r="E31" s="7" t="s">
        <v>127</v>
      </c>
      <c r="F31" s="7" t="s">
        <v>128</v>
      </c>
      <c r="G31" s="6" t="s">
        <v>71</v>
      </c>
      <c r="H31" s="8" t="n">
        <v>1</v>
      </c>
      <c r="I31" s="9" t="n">
        <f aca="false">SUMIFS($H$5:H31,$G$5:G31,"&lt;&gt;")</f>
        <v>33.5</v>
      </c>
      <c r="J31" s="7" t="s">
        <v>97</v>
      </c>
      <c r="K31" s="10" t="s">
        <v>22</v>
      </c>
      <c r="L31" s="11"/>
      <c r="M31" s="7"/>
    </row>
    <row r="32" customFormat="false" ht="15" hidden="false" customHeight="false" outlineLevel="0" collapsed="false">
      <c r="A32" s="4"/>
      <c r="B32" s="4" t="s">
        <v>129</v>
      </c>
      <c r="C32" s="4"/>
      <c r="D32" s="4" t="s">
        <v>129</v>
      </c>
      <c r="E32" s="4"/>
      <c r="F32" s="4"/>
      <c r="G32" s="4"/>
      <c r="H32" s="5" t="n">
        <f aca="false">SUM(H33:H38)</f>
        <v>10.5</v>
      </c>
      <c r="I32" s="4"/>
      <c r="J32" s="4"/>
      <c r="K32" s="4"/>
      <c r="L32" s="5" t="n">
        <f aca="false">SUM(L33:L38)</f>
        <v>0</v>
      </c>
      <c r="M32" s="4"/>
    </row>
    <row r="33" customFormat="false" ht="26.85" hidden="false" customHeight="false" outlineLevel="0" collapsed="false">
      <c r="A33" s="6" t="n">
        <v>25</v>
      </c>
      <c r="B33" s="7" t="s">
        <v>129</v>
      </c>
      <c r="C33" s="6" t="s">
        <v>130</v>
      </c>
      <c r="D33" s="7" t="s">
        <v>131</v>
      </c>
      <c r="E33" s="7" t="s">
        <v>132</v>
      </c>
      <c r="F33" s="7" t="s">
        <v>133</v>
      </c>
      <c r="G33" s="6" t="s">
        <v>20</v>
      </c>
      <c r="H33" s="8" t="n">
        <v>0.5</v>
      </c>
      <c r="I33" s="9" t="n">
        <f aca="false">SUMIFS($H$5:H33,$G$5:G33,"&lt;&gt;")</f>
        <v>34</v>
      </c>
      <c r="J33" s="7" t="s">
        <v>16</v>
      </c>
      <c r="K33" s="10" t="s">
        <v>22</v>
      </c>
      <c r="L33" s="11"/>
      <c r="M33" s="7"/>
    </row>
    <row r="34" customFormat="false" ht="26.85" hidden="false" customHeight="false" outlineLevel="0" collapsed="false">
      <c r="A34" s="6" t="n">
        <v>26</v>
      </c>
      <c r="B34" s="7" t="s">
        <v>129</v>
      </c>
      <c r="C34" s="6" t="s">
        <v>134</v>
      </c>
      <c r="D34" s="7" t="s">
        <v>135</v>
      </c>
      <c r="E34" s="7" t="s">
        <v>136</v>
      </c>
      <c r="F34" s="7" t="s">
        <v>137</v>
      </c>
      <c r="G34" s="6" t="s">
        <v>20</v>
      </c>
      <c r="H34" s="8" t="n">
        <v>3</v>
      </c>
      <c r="I34" s="9" t="n">
        <f aca="false">SUMIFS($H$5:H34,$G$5:G34,"&lt;&gt;")</f>
        <v>37</v>
      </c>
      <c r="J34" s="7" t="s">
        <v>138</v>
      </c>
      <c r="K34" s="10" t="s">
        <v>22</v>
      </c>
      <c r="L34" s="11"/>
      <c r="M34" s="7"/>
    </row>
    <row r="35" customFormat="false" ht="26.85" hidden="false" customHeight="false" outlineLevel="0" collapsed="false">
      <c r="A35" s="6" t="n">
        <v>27</v>
      </c>
      <c r="B35" s="7" t="s">
        <v>129</v>
      </c>
      <c r="C35" s="6" t="s">
        <v>139</v>
      </c>
      <c r="D35" s="7" t="s">
        <v>140</v>
      </c>
      <c r="E35" s="7" t="s">
        <v>141</v>
      </c>
      <c r="F35" s="7" t="s">
        <v>142</v>
      </c>
      <c r="G35" s="6" t="s">
        <v>20</v>
      </c>
      <c r="H35" s="8" t="n">
        <v>1.5</v>
      </c>
      <c r="I35" s="9" t="n">
        <f aca="false">SUMIFS($H$5:H35,$G$5:G35,"&lt;&gt;")</f>
        <v>38.5</v>
      </c>
      <c r="J35" s="7" t="s">
        <v>143</v>
      </c>
      <c r="K35" s="10" t="s">
        <v>22</v>
      </c>
      <c r="L35" s="11"/>
      <c r="M35" s="7"/>
    </row>
    <row r="36" customFormat="false" ht="26.85" hidden="false" customHeight="false" outlineLevel="0" collapsed="false">
      <c r="A36" s="6" t="n">
        <v>28</v>
      </c>
      <c r="B36" s="7" t="s">
        <v>129</v>
      </c>
      <c r="C36" s="6" t="s">
        <v>144</v>
      </c>
      <c r="D36" s="7" t="s">
        <v>145</v>
      </c>
      <c r="E36" s="7" t="s">
        <v>146</v>
      </c>
      <c r="F36" s="7" t="s">
        <v>147</v>
      </c>
      <c r="G36" s="6" t="s">
        <v>20</v>
      </c>
      <c r="H36" s="8" t="n">
        <v>2</v>
      </c>
      <c r="I36" s="9" t="n">
        <f aca="false">SUMIFS($H$5:H36,$G$5:G36,"&lt;&gt;")</f>
        <v>40.5</v>
      </c>
      <c r="J36" s="7" t="s">
        <v>148</v>
      </c>
      <c r="K36" s="10" t="s">
        <v>22</v>
      </c>
      <c r="L36" s="11"/>
      <c r="M36" s="7"/>
    </row>
    <row r="37" customFormat="false" ht="26.85" hidden="false" customHeight="false" outlineLevel="0" collapsed="false">
      <c r="A37" s="6" t="n">
        <v>29</v>
      </c>
      <c r="B37" s="7" t="s">
        <v>129</v>
      </c>
      <c r="C37" s="6" t="s">
        <v>149</v>
      </c>
      <c r="D37" s="7" t="s">
        <v>150</v>
      </c>
      <c r="E37" s="7" t="s">
        <v>151</v>
      </c>
      <c r="F37" s="7" t="s">
        <v>152</v>
      </c>
      <c r="G37" s="6" t="s">
        <v>114</v>
      </c>
      <c r="H37" s="8" t="n">
        <v>1.5</v>
      </c>
      <c r="I37" s="9" t="n">
        <f aca="false">SUMIFS($H$5:H37,$G$5:G37,"&lt;&gt;")</f>
        <v>42</v>
      </c>
      <c r="J37" s="7" t="s">
        <v>153</v>
      </c>
      <c r="K37" s="10" t="s">
        <v>22</v>
      </c>
      <c r="L37" s="11"/>
      <c r="M37" s="7"/>
    </row>
    <row r="38" customFormat="false" ht="39.55" hidden="false" customHeight="false" outlineLevel="0" collapsed="false">
      <c r="A38" s="6" t="n">
        <v>30</v>
      </c>
      <c r="B38" s="7" t="s">
        <v>129</v>
      </c>
      <c r="C38" s="6" t="s">
        <v>154</v>
      </c>
      <c r="D38" s="7" t="s">
        <v>155</v>
      </c>
      <c r="E38" s="7" t="s">
        <v>156</v>
      </c>
      <c r="F38" s="7" t="s">
        <v>157</v>
      </c>
      <c r="G38" s="6" t="s">
        <v>114</v>
      </c>
      <c r="H38" s="8" t="n">
        <v>2</v>
      </c>
      <c r="I38" s="9" t="n">
        <f aca="false">SUMIFS($H$5:H38,$G$5:G38,"&lt;&gt;")</f>
        <v>44</v>
      </c>
      <c r="J38" s="7" t="s">
        <v>158</v>
      </c>
      <c r="K38" s="10" t="s">
        <v>22</v>
      </c>
      <c r="L38" s="11"/>
      <c r="M38" s="7" t="s">
        <v>159</v>
      </c>
    </row>
    <row r="39" customFormat="false" ht="26.85" hidden="false" customHeight="false" outlineLevel="0" collapsed="false">
      <c r="A39" s="4"/>
      <c r="B39" s="4" t="s">
        <v>160</v>
      </c>
      <c r="C39" s="4"/>
      <c r="D39" s="4" t="s">
        <v>160</v>
      </c>
      <c r="E39" s="4"/>
      <c r="F39" s="4"/>
      <c r="G39" s="4"/>
      <c r="H39" s="5" t="n">
        <f aca="false">SUM(H40:H42)</f>
        <v>3.5</v>
      </c>
      <c r="I39" s="4"/>
      <c r="J39" s="4"/>
      <c r="K39" s="4"/>
      <c r="L39" s="5" t="n">
        <f aca="false">SUM(L40:L42)</f>
        <v>0</v>
      </c>
      <c r="M39" s="4"/>
    </row>
    <row r="40" customFormat="false" ht="39.55" hidden="false" customHeight="false" outlineLevel="0" collapsed="false">
      <c r="A40" s="6" t="n">
        <v>31</v>
      </c>
      <c r="B40" s="7" t="s">
        <v>160</v>
      </c>
      <c r="C40" s="6" t="s">
        <v>161</v>
      </c>
      <c r="D40" s="7" t="s">
        <v>162</v>
      </c>
      <c r="E40" s="7" t="s">
        <v>163</v>
      </c>
      <c r="F40" s="7" t="s">
        <v>164</v>
      </c>
      <c r="G40" s="6" t="s">
        <v>20</v>
      </c>
      <c r="H40" s="8" t="n">
        <v>1.5</v>
      </c>
      <c r="I40" s="9" t="n">
        <f aca="false">SUMIFS($H$5:H40,$G$5:G40,"&lt;&gt;")</f>
        <v>45.5</v>
      </c>
      <c r="J40" s="7" t="s">
        <v>165</v>
      </c>
      <c r="K40" s="10" t="s">
        <v>22</v>
      </c>
      <c r="L40" s="11"/>
      <c r="M40" s="7"/>
    </row>
    <row r="41" customFormat="false" ht="26.85" hidden="false" customHeight="false" outlineLevel="0" collapsed="false">
      <c r="A41" s="6" t="n">
        <v>32</v>
      </c>
      <c r="B41" s="7" t="s">
        <v>160</v>
      </c>
      <c r="C41" s="6" t="s">
        <v>166</v>
      </c>
      <c r="D41" s="7" t="s">
        <v>167</v>
      </c>
      <c r="E41" s="7" t="s">
        <v>168</v>
      </c>
      <c r="F41" s="7" t="s">
        <v>169</v>
      </c>
      <c r="G41" s="6" t="s">
        <v>20</v>
      </c>
      <c r="H41" s="8" t="n">
        <v>0.5</v>
      </c>
      <c r="I41" s="9" t="n">
        <f aca="false">SUMIFS($H$5:H41,$G$5:G41,"&lt;&gt;")</f>
        <v>46</v>
      </c>
      <c r="J41" s="7" t="s">
        <v>170</v>
      </c>
      <c r="K41" s="10" t="s">
        <v>22</v>
      </c>
      <c r="L41" s="11"/>
      <c r="M41" s="7"/>
    </row>
    <row r="42" customFormat="false" ht="26.85" hidden="false" customHeight="false" outlineLevel="0" collapsed="false">
      <c r="A42" s="6" t="n">
        <v>33</v>
      </c>
      <c r="B42" s="7" t="s">
        <v>160</v>
      </c>
      <c r="C42" s="6" t="s">
        <v>171</v>
      </c>
      <c r="D42" s="7" t="s">
        <v>172</v>
      </c>
      <c r="E42" s="7" t="s">
        <v>173</v>
      </c>
      <c r="F42" s="7" t="s">
        <v>174</v>
      </c>
      <c r="G42" s="6" t="s">
        <v>20</v>
      </c>
      <c r="H42" s="8" t="n">
        <v>1.5</v>
      </c>
      <c r="I42" s="9" t="n">
        <f aca="false">SUMIFS($H$5:H42,$G$5:G42,"&lt;&gt;")</f>
        <v>47.5</v>
      </c>
      <c r="J42" s="7" t="s">
        <v>175</v>
      </c>
      <c r="K42" s="10" t="s">
        <v>22</v>
      </c>
      <c r="L42" s="11"/>
      <c r="M42" s="7"/>
    </row>
    <row r="43" customFormat="false" ht="15" hidden="false" customHeight="false" outlineLevel="0" collapsed="false">
      <c r="A43" s="4"/>
      <c r="B43" s="4" t="s">
        <v>176</v>
      </c>
      <c r="C43" s="4"/>
      <c r="D43" s="4" t="s">
        <v>176</v>
      </c>
      <c r="E43" s="4"/>
      <c r="F43" s="4"/>
      <c r="G43" s="4"/>
      <c r="H43" s="5" t="n">
        <f aca="false">SUM(H44:H48)</f>
        <v>9</v>
      </c>
      <c r="I43" s="4"/>
      <c r="J43" s="4"/>
      <c r="K43" s="4"/>
      <c r="L43" s="5" t="n">
        <f aca="false">SUM(L44:L48)</f>
        <v>0</v>
      </c>
      <c r="M43" s="4"/>
    </row>
    <row r="44" customFormat="false" ht="26.85" hidden="false" customHeight="false" outlineLevel="0" collapsed="false">
      <c r="A44" s="6" t="n">
        <v>34</v>
      </c>
      <c r="B44" s="7" t="s">
        <v>176</v>
      </c>
      <c r="C44" s="6" t="s">
        <v>177</v>
      </c>
      <c r="D44" s="7" t="s">
        <v>178</v>
      </c>
      <c r="E44" s="7" t="s">
        <v>179</v>
      </c>
      <c r="F44" s="7" t="s">
        <v>180</v>
      </c>
      <c r="G44" s="6" t="s">
        <v>20</v>
      </c>
      <c r="H44" s="8" t="n">
        <v>1.5</v>
      </c>
      <c r="I44" s="9" t="n">
        <f aca="false">SUMIFS($H$5:H44,$G$5:G44,"&lt;&gt;")</f>
        <v>49</v>
      </c>
      <c r="J44" s="7" t="s">
        <v>58</v>
      </c>
      <c r="K44" s="10" t="s">
        <v>22</v>
      </c>
      <c r="L44" s="11"/>
      <c r="M44" s="7"/>
    </row>
    <row r="45" customFormat="false" ht="26.85" hidden="false" customHeight="false" outlineLevel="0" collapsed="false">
      <c r="A45" s="6" t="n">
        <v>35</v>
      </c>
      <c r="B45" s="7" t="s">
        <v>176</v>
      </c>
      <c r="C45" s="6" t="s">
        <v>181</v>
      </c>
      <c r="D45" s="7" t="s">
        <v>182</v>
      </c>
      <c r="E45" s="7" t="s">
        <v>183</v>
      </c>
      <c r="F45" s="7" t="s">
        <v>184</v>
      </c>
      <c r="G45" s="6" t="s">
        <v>20</v>
      </c>
      <c r="H45" s="8" t="n">
        <v>1.5</v>
      </c>
      <c r="I45" s="9" t="n">
        <f aca="false">SUMIFS($H$5:H45,$G$5:G45,"&lt;&gt;")</f>
        <v>50.5</v>
      </c>
      <c r="J45" s="7" t="s">
        <v>185</v>
      </c>
      <c r="K45" s="10" t="s">
        <v>22</v>
      </c>
      <c r="L45" s="11"/>
      <c r="M45" s="7"/>
    </row>
    <row r="46" customFormat="false" ht="26.85" hidden="false" customHeight="false" outlineLevel="0" collapsed="false">
      <c r="A46" s="6" t="n">
        <v>36</v>
      </c>
      <c r="B46" s="7" t="s">
        <v>176</v>
      </c>
      <c r="C46" s="6" t="s">
        <v>186</v>
      </c>
      <c r="D46" s="7" t="s">
        <v>187</v>
      </c>
      <c r="E46" s="7" t="s">
        <v>188</v>
      </c>
      <c r="F46" s="7" t="s">
        <v>189</v>
      </c>
      <c r="G46" s="6" t="s">
        <v>20</v>
      </c>
      <c r="H46" s="8" t="n">
        <v>1</v>
      </c>
      <c r="I46" s="9" t="n">
        <f aca="false">SUMIFS($H$5:H46,$G$5:G46,"&lt;&gt;")</f>
        <v>51.5</v>
      </c>
      <c r="J46" s="7" t="s">
        <v>190</v>
      </c>
      <c r="K46" s="10" t="s">
        <v>22</v>
      </c>
      <c r="L46" s="11"/>
      <c r="M46" s="7"/>
    </row>
    <row r="47" customFormat="false" ht="26.85" hidden="false" customHeight="false" outlineLevel="0" collapsed="false">
      <c r="A47" s="6" t="n">
        <v>37</v>
      </c>
      <c r="B47" s="7" t="s">
        <v>176</v>
      </c>
      <c r="C47" s="6" t="s">
        <v>191</v>
      </c>
      <c r="D47" s="7" t="s">
        <v>192</v>
      </c>
      <c r="E47" s="7" t="s">
        <v>193</v>
      </c>
      <c r="F47" s="7" t="s">
        <v>194</v>
      </c>
      <c r="G47" s="6" t="s">
        <v>20</v>
      </c>
      <c r="H47" s="8" t="n">
        <v>2</v>
      </c>
      <c r="I47" s="9" t="n">
        <f aca="false">SUMIFS($H$5:H47,$G$5:G47,"&lt;&gt;")</f>
        <v>53.5</v>
      </c>
      <c r="J47" s="7" t="s">
        <v>186</v>
      </c>
      <c r="K47" s="10" t="s">
        <v>22</v>
      </c>
      <c r="L47" s="11"/>
      <c r="M47" s="7"/>
    </row>
    <row r="48" customFormat="false" ht="15" hidden="false" customHeight="false" outlineLevel="0" collapsed="false">
      <c r="A48" s="6" t="n">
        <v>38</v>
      </c>
      <c r="B48" s="7" t="s">
        <v>176</v>
      </c>
      <c r="C48" s="6" t="s">
        <v>195</v>
      </c>
      <c r="D48" s="7" t="s">
        <v>196</v>
      </c>
      <c r="E48" s="7" t="s">
        <v>197</v>
      </c>
      <c r="F48" s="7" t="s">
        <v>21</v>
      </c>
      <c r="G48" s="6" t="s">
        <v>20</v>
      </c>
      <c r="H48" s="8" t="n">
        <v>3</v>
      </c>
      <c r="I48" s="9" t="n">
        <f aca="false">SUMIFS($H$5:H48,$G$5:G48,"&lt;&gt;")</f>
        <v>56.5</v>
      </c>
      <c r="J48" s="7" t="s">
        <v>21</v>
      </c>
      <c r="K48" s="10" t="s">
        <v>22</v>
      </c>
      <c r="L48" s="11"/>
      <c r="M48" s="7"/>
    </row>
    <row r="49" customFormat="false" ht="15" hidden="false" customHeight="false" outlineLevel="0" collapsed="false">
      <c r="A49" s="12"/>
      <c r="B49" s="12"/>
      <c r="C49" s="12"/>
      <c r="D49" s="12" t="s">
        <v>198</v>
      </c>
      <c r="E49" s="12"/>
      <c r="F49" s="12"/>
      <c r="G49" s="12"/>
      <c r="H49" s="13" t="n">
        <f aca="false">SUMIFS(H5:H48,G5:G48,"&lt;&gt;")</f>
        <v>56.5</v>
      </c>
      <c r="I49" s="12"/>
      <c r="J49" s="12"/>
      <c r="K49" s="12"/>
      <c r="L49" s="13" t="n">
        <f aca="false">SUMIFS(L5:L48,G5:G48,"&lt;&gt;")</f>
        <v>0</v>
      </c>
      <c r="M49" s="12"/>
    </row>
  </sheetData>
  <conditionalFormatting sqref="A5:J48">
    <cfRule type="expression" priority="2" aboveAverage="0" equalAverage="0" bottom="0" percent="0" rank="0" text="" dxfId="0">
      <formula>$K5="Done"</formula>
    </cfRule>
  </conditionalFormatting>
  <dataValidations count="2">
    <dataValidation allowBlank="true" errorStyle="stop" operator="between" showDropDown="false" showErrorMessage="false" showInputMessage="false" sqref="K5:K48" type="list">
      <formula1>"Not started,In progress,Done,Skipped"</formula1>
      <formula2>0</formula2>
    </dataValidation>
    <dataValidation allowBlank="true" errorStyle="stop" operator="between" showDropDown="false" showErrorMessage="false" showInputMessage="false" sqref="G5:G48" type="list">
      <formula1>"Must,Should,Could"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7" min="4" style="0" width="11"/>
  </cols>
  <sheetData>
    <row r="1" customFormat="false" ht="17.35" hidden="false" customHeight="false" outlineLevel="0" collapsed="false">
      <c r="A1" s="1" t="s">
        <v>199</v>
      </c>
    </row>
    <row r="3" customFormat="false" ht="15" hidden="false" customHeight="false" outlineLevel="0" collapsed="false">
      <c r="A3" s="3" t="s">
        <v>3</v>
      </c>
      <c r="B3" s="3" t="s">
        <v>200</v>
      </c>
      <c r="C3" s="3" t="s">
        <v>201</v>
      </c>
      <c r="D3" s="3" t="s">
        <v>202</v>
      </c>
      <c r="E3" s="3" t="s">
        <v>203</v>
      </c>
      <c r="F3" s="3" t="s">
        <v>204</v>
      </c>
      <c r="G3" s="3" t="s">
        <v>13</v>
      </c>
    </row>
    <row r="4" customFormat="false" ht="15" hidden="false" customHeight="false" outlineLevel="0" collapsed="false">
      <c r="A4" s="14" t="s">
        <v>15</v>
      </c>
      <c r="B4" s="14" t="n">
        <f aca="false">COUNTIFS(Plan!$B$5:$B$48,A4,Plan!$G$5:$G$48,"&lt;&gt;")</f>
        <v>4</v>
      </c>
      <c r="C4" s="15" t="n">
        <f aca="false">SUMIFS(Plan!$H$5:$H$48,Plan!$B$5:$B$48,A4,Plan!$G$5:$G$48,"Must")</f>
        <v>5</v>
      </c>
      <c r="D4" s="15" t="n">
        <f aca="false">SUMIFS(Plan!$H$5:$H$48,Plan!$B$5:$B$48,A4,Plan!$G$5:$G$48,"Should")</f>
        <v>0</v>
      </c>
      <c r="E4" s="15" t="n">
        <f aca="false">SUMIFS(Plan!$H$5:$H$48,Plan!$B$5:$B$48,A4,Plan!$G$5:$G$48,"Could")</f>
        <v>0</v>
      </c>
      <c r="F4" s="15" t="n">
        <f aca="false">SUM(C4:E4)</f>
        <v>5</v>
      </c>
      <c r="G4" s="15" t="n">
        <f aca="false">SUMIFS(Plan!$L$5:$L$48,Plan!$B$5:$B$48,A4,Plan!$G$5:$G$48,"&lt;&gt;")</f>
        <v>0</v>
      </c>
    </row>
    <row r="5" customFormat="false" ht="15" hidden="false" customHeight="false" outlineLevel="0" collapsed="false">
      <c r="A5" s="14" t="s">
        <v>35</v>
      </c>
      <c r="B5" s="14" t="n">
        <f aca="false">COUNTIFS(Plan!$B$5:$B$48,A5,Plan!$G$5:$G$48,"&lt;&gt;")</f>
        <v>8</v>
      </c>
      <c r="C5" s="15" t="n">
        <f aca="false">SUMIFS(Plan!$H$5:$H$48,Plan!$B$5:$B$48,A5,Plan!$G$5:$G$48,"Must")</f>
        <v>12.5</v>
      </c>
      <c r="D5" s="15" t="n">
        <f aca="false">SUMIFS(Plan!$H$5:$H$48,Plan!$B$5:$B$48,A5,Plan!$G$5:$G$48,"Should")</f>
        <v>0</v>
      </c>
      <c r="E5" s="15" t="n">
        <f aca="false">SUMIFS(Plan!$H$5:$H$48,Plan!$B$5:$B$48,A5,Plan!$G$5:$G$48,"Could")</f>
        <v>1</v>
      </c>
      <c r="F5" s="15" t="n">
        <f aca="false">SUM(C5:E5)</f>
        <v>13.5</v>
      </c>
      <c r="G5" s="15" t="n">
        <f aca="false">SUMIFS(Plan!$L$5:$L$48,Plan!$B$5:$B$48,A5,Plan!$G$5:$G$48,"&lt;&gt;")</f>
        <v>0</v>
      </c>
    </row>
    <row r="6" customFormat="false" ht="15" hidden="false" customHeight="false" outlineLevel="0" collapsed="false">
      <c r="A6" s="14" t="s">
        <v>73</v>
      </c>
      <c r="B6" s="14" t="n">
        <f aca="false">COUNTIFS(Plan!$B$5:$B$48,A6,Plan!$G$5:$G$48,"&lt;&gt;")</f>
        <v>12</v>
      </c>
      <c r="C6" s="15" t="n">
        <f aca="false">SUMIFS(Plan!$H$5:$H$48,Plan!$B$5:$B$48,A6,Plan!$G$5:$G$48,"Must")</f>
        <v>10.5</v>
      </c>
      <c r="D6" s="15" t="n">
        <f aca="false">SUMIFS(Plan!$H$5:$H$48,Plan!$B$5:$B$48,A6,Plan!$G$5:$G$48,"Should")</f>
        <v>2.5</v>
      </c>
      <c r="E6" s="15" t="n">
        <f aca="false">SUMIFS(Plan!$H$5:$H$48,Plan!$B$5:$B$48,A6,Plan!$G$5:$G$48,"Could")</f>
        <v>2</v>
      </c>
      <c r="F6" s="15" t="n">
        <f aca="false">SUM(C6:E6)</f>
        <v>15</v>
      </c>
      <c r="G6" s="15" t="n">
        <f aca="false">SUMIFS(Plan!$L$5:$L$48,Plan!$B$5:$B$48,A6,Plan!$G$5:$G$48,"&lt;&gt;")</f>
        <v>0</v>
      </c>
    </row>
    <row r="7" customFormat="false" ht="15" hidden="false" customHeight="false" outlineLevel="0" collapsed="false">
      <c r="A7" s="14" t="s">
        <v>129</v>
      </c>
      <c r="B7" s="14" t="n">
        <f aca="false">COUNTIFS(Plan!$B$5:$B$48,A7,Plan!$G$5:$G$48,"&lt;&gt;")</f>
        <v>6</v>
      </c>
      <c r="C7" s="15" t="n">
        <f aca="false">SUMIFS(Plan!$H$5:$H$48,Plan!$B$5:$B$48,A7,Plan!$G$5:$G$48,"Must")</f>
        <v>7</v>
      </c>
      <c r="D7" s="15" t="n">
        <f aca="false">SUMIFS(Plan!$H$5:$H$48,Plan!$B$5:$B$48,A7,Plan!$G$5:$G$48,"Should")</f>
        <v>3.5</v>
      </c>
      <c r="E7" s="15" t="n">
        <f aca="false">SUMIFS(Plan!$H$5:$H$48,Plan!$B$5:$B$48,A7,Plan!$G$5:$G$48,"Could")</f>
        <v>0</v>
      </c>
      <c r="F7" s="15" t="n">
        <f aca="false">SUM(C7:E7)</f>
        <v>10.5</v>
      </c>
      <c r="G7" s="15" t="n">
        <f aca="false">SUMIFS(Plan!$L$5:$L$48,Plan!$B$5:$B$48,A7,Plan!$G$5:$G$48,"&lt;&gt;")</f>
        <v>0</v>
      </c>
    </row>
    <row r="8" customFormat="false" ht="15" hidden="false" customHeight="false" outlineLevel="0" collapsed="false">
      <c r="A8" s="14" t="s">
        <v>160</v>
      </c>
      <c r="B8" s="14" t="n">
        <f aca="false">COUNTIFS(Plan!$B$5:$B$48,A8,Plan!$G$5:$G$48,"&lt;&gt;")</f>
        <v>3</v>
      </c>
      <c r="C8" s="15" t="n">
        <f aca="false">SUMIFS(Plan!$H$5:$H$48,Plan!$B$5:$B$48,A8,Plan!$G$5:$G$48,"Must")</f>
        <v>3.5</v>
      </c>
      <c r="D8" s="15" t="n">
        <f aca="false">SUMIFS(Plan!$H$5:$H$48,Plan!$B$5:$B$48,A8,Plan!$G$5:$G$48,"Should")</f>
        <v>0</v>
      </c>
      <c r="E8" s="15" t="n">
        <f aca="false">SUMIFS(Plan!$H$5:$H$48,Plan!$B$5:$B$48,A8,Plan!$G$5:$G$48,"Could")</f>
        <v>0</v>
      </c>
      <c r="F8" s="15" t="n">
        <f aca="false">SUM(C8:E8)</f>
        <v>3.5</v>
      </c>
      <c r="G8" s="15" t="n">
        <f aca="false">SUMIFS(Plan!$L$5:$L$48,Plan!$B$5:$B$48,A8,Plan!$G$5:$G$48,"&lt;&gt;")</f>
        <v>0</v>
      </c>
    </row>
    <row r="9" customFormat="false" ht="15" hidden="false" customHeight="false" outlineLevel="0" collapsed="false">
      <c r="A9" s="14" t="s">
        <v>176</v>
      </c>
      <c r="B9" s="14" t="n">
        <f aca="false">COUNTIFS(Plan!$B$5:$B$48,A9,Plan!$G$5:$G$48,"&lt;&gt;")</f>
        <v>5</v>
      </c>
      <c r="C9" s="15" t="n">
        <f aca="false">SUMIFS(Plan!$H$5:$H$48,Plan!$B$5:$B$48,A9,Plan!$G$5:$G$48,"Must")</f>
        <v>9</v>
      </c>
      <c r="D9" s="15" t="n">
        <f aca="false">SUMIFS(Plan!$H$5:$H$48,Plan!$B$5:$B$48,A9,Plan!$G$5:$G$48,"Should")</f>
        <v>0</v>
      </c>
      <c r="E9" s="15" t="n">
        <f aca="false">SUMIFS(Plan!$H$5:$H$48,Plan!$B$5:$B$48,A9,Plan!$G$5:$G$48,"Could")</f>
        <v>0</v>
      </c>
      <c r="F9" s="15" t="n">
        <f aca="false">SUM(C9:E9)</f>
        <v>9</v>
      </c>
      <c r="G9" s="15" t="n">
        <f aca="false">SUMIFS(Plan!$L$5:$L$48,Plan!$B$5:$B$48,A9,Plan!$G$5:$G$48,"&lt;&gt;")</f>
        <v>0</v>
      </c>
    </row>
    <row r="10" customFormat="false" ht="15" hidden="false" customHeight="false" outlineLevel="0" collapsed="false">
      <c r="A10" s="12" t="s">
        <v>205</v>
      </c>
      <c r="B10" s="12" t="n">
        <f aca="false">SUM(B4:B9)</f>
        <v>38</v>
      </c>
      <c r="C10" s="13" t="n">
        <f aca="false">SUM(C4:C9)</f>
        <v>47.5</v>
      </c>
      <c r="D10" s="13" t="n">
        <f aca="false">SUM(D4:D9)</f>
        <v>6</v>
      </c>
      <c r="E10" s="13" t="n">
        <f aca="false">SUM(E4:E9)</f>
        <v>3</v>
      </c>
      <c r="F10" s="13" t="n">
        <f aca="false">SUM(F4:F9)</f>
        <v>56.5</v>
      </c>
      <c r="G10" s="13" t="n">
        <f aca="false">SUM(G4:G9)</f>
        <v>0</v>
      </c>
    </row>
    <row r="12" customFormat="false" ht="15" hidden="false" customHeight="false" outlineLevel="0" collapsed="false">
      <c r="A12" s="16" t="s">
        <v>206</v>
      </c>
      <c r="B12" s="17"/>
      <c r="C12" s="17"/>
      <c r="D12" s="17"/>
      <c r="E12" s="17"/>
      <c r="F12" s="17"/>
      <c r="G12" s="17"/>
    </row>
    <row r="13" customFormat="false" ht="15" hidden="false" customHeight="false" outlineLevel="0" collapsed="false">
      <c r="A13" s="17" t="s">
        <v>207</v>
      </c>
      <c r="B13" s="18" t="n">
        <v>60</v>
      </c>
      <c r="C13" s="17" t="s">
        <v>208</v>
      </c>
      <c r="D13" s="17"/>
      <c r="E13" s="17"/>
      <c r="F13" s="17"/>
      <c r="G13" s="17"/>
    </row>
    <row r="14" customFormat="false" ht="15" hidden="false" customHeight="false" outlineLevel="0" collapsed="false">
      <c r="A14" s="17" t="s">
        <v>209</v>
      </c>
      <c r="B14" s="19" t="n">
        <f aca="false">C10</f>
        <v>47.5</v>
      </c>
      <c r="C14" s="17" t="str">
        <f aca="false">IF(B14&lt;=$B$13,"Within target","Over target")</f>
        <v>Within target</v>
      </c>
      <c r="D14" s="17"/>
      <c r="E14" s="17"/>
      <c r="F14" s="17"/>
      <c r="G14" s="17"/>
    </row>
    <row r="15" customFormat="false" ht="15" hidden="false" customHeight="false" outlineLevel="0" collapsed="false">
      <c r="A15" s="17" t="s">
        <v>210</v>
      </c>
      <c r="B15" s="19" t="n">
        <f aca="false">C10+D10</f>
        <v>53.5</v>
      </c>
      <c r="C15" s="17" t="str">
        <f aca="false">IF(B15&lt;=$B$13,"Within target","Over target")</f>
        <v>Within target</v>
      </c>
      <c r="D15" s="17"/>
      <c r="E15" s="17"/>
      <c r="F15" s="17"/>
      <c r="G15" s="17"/>
    </row>
    <row r="16" customFormat="false" ht="15" hidden="false" customHeight="false" outlineLevel="0" collapsed="false">
      <c r="A16" s="17" t="s">
        <v>211</v>
      </c>
      <c r="B16" s="19" t="n">
        <f aca="false">F10</f>
        <v>56.5</v>
      </c>
      <c r="C16" s="17" t="str">
        <f aca="false">IF(B16&lt;=$B$13,"Within target","Over target")</f>
        <v>Within target</v>
      </c>
      <c r="D16" s="17"/>
      <c r="E16" s="17"/>
      <c r="F16" s="17"/>
      <c r="G16" s="17"/>
    </row>
    <row r="17" customFormat="false" ht="15" hidden="false" customHeight="false" outlineLevel="0" collapsed="false">
      <c r="A17" s="17"/>
      <c r="B17" s="17"/>
      <c r="C17" s="17"/>
      <c r="D17" s="17"/>
      <c r="E17" s="17"/>
      <c r="F17" s="17"/>
      <c r="G17" s="17"/>
    </row>
    <row r="18" customFormat="false" ht="15" hidden="false" customHeight="false" outlineLevel="0" collapsed="false">
      <c r="A18" s="17"/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6" t="s">
        <v>212</v>
      </c>
      <c r="B19" s="17"/>
      <c r="C19" s="17"/>
      <c r="D19" s="17"/>
      <c r="E19" s="17"/>
      <c r="F19" s="17"/>
      <c r="G19" s="17"/>
    </row>
    <row r="20" customFormat="false" ht="15" hidden="false" customHeight="false" outlineLevel="0" collapsed="false">
      <c r="A20" s="17" t="s">
        <v>213</v>
      </c>
      <c r="B20" s="19" t="n">
        <f aca="false">SUMIFS(Plan!$H$5:$H$48,Plan!$K$5:$K$48,"Done")</f>
        <v>0</v>
      </c>
      <c r="C20" s="17"/>
      <c r="D20" s="17"/>
      <c r="E20" s="17"/>
      <c r="F20" s="17"/>
      <c r="G20" s="17"/>
    </row>
    <row r="21" customFormat="false" ht="15" hidden="false" customHeight="false" outlineLevel="0" collapsed="false">
      <c r="A21" s="17" t="s">
        <v>214</v>
      </c>
      <c r="B21" s="19" t="n">
        <f aca="false">B15</f>
        <v>53.5</v>
      </c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7" t="s">
        <v>215</v>
      </c>
      <c r="B22" s="20" t="n">
        <f aca="false">IF(B21=0,0,B20/B21)</f>
        <v>0</v>
      </c>
      <c r="C22" s="17"/>
      <c r="D22" s="17"/>
      <c r="E22" s="17"/>
      <c r="F22" s="17"/>
      <c r="G22" s="17"/>
    </row>
    <row r="23" customFormat="false" ht="15" hidden="false" customHeight="false" outlineLevel="0" collapsed="false">
      <c r="A23" s="17" t="s">
        <v>216</v>
      </c>
      <c r="B23" s="19" t="n">
        <f aca="false">G10</f>
        <v>0</v>
      </c>
      <c r="C23" s="17"/>
      <c r="D23" s="17"/>
      <c r="E23" s="17"/>
      <c r="F23" s="17"/>
      <c r="G23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217</v>
      </c>
    </row>
    <row r="3" customFormat="false" ht="15" hidden="false" customHeight="false" outlineLevel="0" collapsed="false">
      <c r="A3" s="21" t="s">
        <v>218</v>
      </c>
      <c r="B3" s="22" t="s">
        <v>219</v>
      </c>
    </row>
    <row r="4" customFormat="false" ht="26.85" hidden="false" customHeight="false" outlineLevel="0" collapsed="false">
      <c r="A4" s="21" t="s">
        <v>220</v>
      </c>
      <c r="B4" s="22" t="s">
        <v>221</v>
      </c>
    </row>
    <row r="5" customFormat="false" ht="15" hidden="false" customHeight="false" outlineLevel="0" collapsed="false">
      <c r="A5" s="21" t="s">
        <v>222</v>
      </c>
      <c r="B5" s="22" t="s">
        <v>223</v>
      </c>
    </row>
    <row r="6" customFormat="false" ht="15" hidden="false" customHeight="false" outlineLevel="0" collapsed="false">
      <c r="A6" s="21" t="s">
        <v>224</v>
      </c>
      <c r="B6" s="22" t="s">
        <v>225</v>
      </c>
    </row>
    <row r="7" customFormat="false" ht="26.85" hidden="false" customHeight="false" outlineLevel="0" collapsed="false">
      <c r="A7" s="21" t="s">
        <v>226</v>
      </c>
      <c r="B7" s="22" t="s">
        <v>227</v>
      </c>
    </row>
    <row r="8" customFormat="false" ht="26.85" hidden="false" customHeight="false" outlineLevel="0" collapsed="false">
      <c r="A8" s="21" t="s">
        <v>228</v>
      </c>
      <c r="B8" s="22" t="s">
        <v>229</v>
      </c>
    </row>
    <row r="9" customFormat="false" ht="26.85" hidden="false" customHeight="false" outlineLevel="0" collapsed="false">
      <c r="A9" s="21" t="s">
        <v>230</v>
      </c>
      <c r="B9" s="22" t="s">
        <v>231</v>
      </c>
    </row>
    <row r="10" customFormat="false" ht="26.85" hidden="false" customHeight="false" outlineLevel="0" collapsed="false">
      <c r="A10" s="21" t="s">
        <v>232</v>
      </c>
      <c r="B10" s="22" t="s">
        <v>233</v>
      </c>
    </row>
    <row r="11" customFormat="false" ht="26.85" hidden="false" customHeight="false" outlineLevel="0" collapsed="false">
      <c r="A11" s="21" t="s">
        <v>234</v>
      </c>
      <c r="B11" s="22" t="s">
        <v>235</v>
      </c>
    </row>
    <row r="12" customFormat="false" ht="15" hidden="false" customHeight="false" outlineLevel="0" collapsed="false">
      <c r="A12" s="21" t="s">
        <v>236</v>
      </c>
      <c r="B12" s="22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2026-10-14T10:26:55Z</dcterms:created>
  <dc:creator>openpyxl</dc:creator>
  <dc:description/>
  <dc:language>en-US</dc:language>
  <cp:lastModifiedBy/>
  <dcterms:modified xsi:type="dcterms:W3CDTF">2026-10-14T10:26:55Z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