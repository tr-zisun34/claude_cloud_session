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Estimate" sheetId="1" state="visible" r:id="rId3"/>
    <sheet name="Schema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<sst xmlns="http://schemas.openxmlformats.org/spreadsheetml/2006/main" count="268" uniqueCount="185">
  <si>
    <t xml:space="preserve">Store Shield - Estimate</t>
  </si>
  <si>
    <t xml:space="preserve">Feature</t>
  </si>
  <si>
    <t xml:space="preserve">Sub-feature</t>
  </si>
  <si>
    <t xml:space="preserve">Description</t>
  </si>
  <si>
    <t xml:space="preserve">Database</t>
  </si>
  <si>
    <t xml:space="preserve">Hours</t>
  </si>
  <si>
    <t xml:space="preserve">1. Setup</t>
  </si>
  <si>
    <t xml:space="preserve">Create app</t>
  </si>
  <si>
    <t xml:space="preserve">Make the Shopify app and run it</t>
  </si>
  <si>
    <t xml:space="preserve">NEW sessions (comes with Shopify template): Shopify login sessions</t>
  </si>
  <si>
    <t xml:space="preserve">Default settings</t>
  </si>
  <si>
    <t xml:space="preserve">Starting scores and limits</t>
  </si>
  <si>
    <t xml:space="preserve">NEW settings: shop, bot_mode, fraud_mode, bot cut-offs, fraud cut-offs, bot_points, fraud_points</t>
  </si>
  <si>
    <t xml:space="preserve">Test store</t>
  </si>
  <si>
    <t xml:space="preserve">Sample products and test payments</t>
  </si>
  <si>
    <t xml:space="preserve">-</t>
  </si>
  <si>
    <t xml:space="preserve">2. Bot Check</t>
  </si>
  <si>
    <t xml:space="preserve">Visitor script</t>
  </si>
  <si>
    <t xml:space="preserve">Small script on every store page</t>
  </si>
  <si>
    <t xml:space="preserve">Browser check</t>
  </si>
  <si>
    <t xml:space="preserve">Spot automated browsers</t>
  </si>
  <si>
    <t xml:space="preserve">Behaviour check</t>
  </si>
  <si>
    <t xml:space="preserve">Mouse, clicks, speed, typing</t>
  </si>
  <si>
    <t xml:space="preserve">Bot score</t>
  </si>
  <si>
    <t xml:space="preserve">Add up points, score 0-100</t>
  </si>
  <si>
    <t xml:space="preserve">- (page-burst counter kept in memory)</t>
  </si>
  <si>
    <t xml:space="preserve">Visitor log</t>
  </si>
  <si>
    <t xml:space="preserve">Save every visit and score</t>
  </si>
  <si>
    <t xml:space="preserve">NEW visits: shop, device_id, ip, page, score, reasons, action, created_at</t>
  </si>
  <si>
    <t xml:space="preserve">Challenge &amp; block</t>
  </si>
  <si>
    <t xml:space="preserve">Hidden check or block page</t>
  </si>
  <si>
    <t xml:space="preserve">Pass score to order</t>
  </si>
  <si>
    <t xml:space="preserve">Attach bot score to the order</t>
  </si>
  <si>
    <t xml:space="preserve">- (stored on the Shopify cart)</t>
  </si>
  <si>
    <t xml:space="preserve">Spy-tool check (optional)</t>
  </si>
  <si>
    <t xml:space="preserve">Spot competitor spy extensions</t>
  </si>
  <si>
    <t xml:space="preserve">3. Fraud Check</t>
  </si>
  <si>
    <t xml:space="preserve">New order trigger</t>
  </si>
  <si>
    <t xml:space="preserve">Get order details when placed</t>
  </si>
  <si>
    <t xml:space="preserve">Fraud list match</t>
  </si>
  <si>
    <t xml:space="preserve">Known fraudster = high risk</t>
  </si>
  <si>
    <t xml:space="preserve">NEW fraud_list: shop, type (email/phone/address/card/device/ip), value, order_id, created_at</t>
  </si>
  <si>
    <t xml:space="preserve">Shopify risk</t>
  </si>
  <si>
    <t xml:space="preserve">Use Shopify's own fraud rating</t>
  </si>
  <si>
    <t xml:space="preserve">Warning signs</t>
  </si>
  <si>
    <t xml:space="preserve">Email, IP, address, phone, order size</t>
  </si>
  <si>
    <t xml:space="preserve">Bot score link</t>
  </si>
  <si>
    <t xml:space="preserve">Suspicious browsing adds points</t>
  </si>
  <si>
    <t xml:space="preserve">Fraud score</t>
  </si>
  <si>
    <t xml:space="preserve">Add up points, decide action</t>
  </si>
  <si>
    <t xml:space="preserve">NEW order_checks: shop, order_id, customer_id, email, phone, ip, billing, shipping, card_last4, card_brand, device_id, bot_score, score, reasons, decision, status, created_at</t>
  </si>
  <si>
    <t xml:space="preserve">Hold order</t>
  </si>
  <si>
    <t xml:space="preserve">Stop shipping until reviewed</t>
  </si>
  <si>
    <t xml:space="preserve">- (updates order_checks.status)</t>
  </si>
  <si>
    <t xml:space="preserve">Auto-cancel</t>
  </si>
  <si>
    <t xml:space="preserve">Cancel, refund, restock, email</t>
  </si>
  <si>
    <t xml:space="preserve">CHANGE settings: + auto_cancel (on/off)</t>
  </si>
  <si>
    <t xml:space="preserve">Good signs</t>
  </si>
  <si>
    <t xml:space="preserve">Loyal customers get lower score</t>
  </si>
  <si>
    <t xml:space="preserve">- (reads past order_checks)</t>
  </si>
  <si>
    <t xml:space="preserve">Risky products</t>
  </si>
  <si>
    <t xml:space="preserve">Limits on easy-to-resell items</t>
  </si>
  <si>
    <t xml:space="preserve">CHANGE settings: + risky_categories, risky_limits</t>
  </si>
  <si>
    <t xml:space="preserve">Failed payments (optional)</t>
  </si>
  <si>
    <t xml:space="preserve">Many declined cards adds points</t>
  </si>
  <si>
    <t xml:space="preserve">Show in Shopify (optional)</t>
  </si>
  <si>
    <t xml:space="preserve">Our verdict on Shopify order page</t>
  </si>
  <si>
    <t xml:space="preserve">4. Dashboard</t>
  </si>
  <si>
    <t xml:space="preserve">Menu &amp; pages</t>
  </si>
  <si>
    <t xml:space="preserve">Basic app screens</t>
  </si>
  <si>
    <t xml:space="preserve">Review queue</t>
  </si>
  <si>
    <t xml:space="preserve">Held orders with approve/cancel</t>
  </si>
  <si>
    <t xml:space="preserve">NEW staff_actions: shop, action, target, note, created_at</t>
  </si>
  <si>
    <t xml:space="preserve">Bot activity</t>
  </si>
  <si>
    <t xml:space="preserve">Blocked visitors with unblock</t>
  </si>
  <si>
    <t xml:space="preserve">NEW trust_list: shop, type (device/customer/email/ip), value, reason, expires_at, created_at</t>
  </si>
  <si>
    <t xml:space="preserve">Settings</t>
  </si>
  <si>
    <t xml:space="preserve">Change scores, limits, on/off</t>
  </si>
  <si>
    <t xml:space="preserve">- (edits settings)</t>
  </si>
  <si>
    <t xml:space="preserve">Overview</t>
  </si>
  <si>
    <t xml:space="preserve">Today's numbers at a glance</t>
  </si>
  <si>
    <t xml:space="preserve">- (counts visits, order_checks)</t>
  </si>
  <si>
    <t xml:space="preserve">Activity log</t>
  </si>
  <si>
    <t xml:space="preserve">History of actions, with undo</t>
  </si>
  <si>
    <t xml:space="preserve">- (reads visits, order_checks, staff_actions)</t>
  </si>
  <si>
    <t xml:space="preserve">5. Fraud Tagging</t>
  </si>
  <si>
    <t xml:space="preserve">Mark as fraud</t>
  </si>
  <si>
    <t xml:space="preserve">Tag customer, save to fraud list</t>
  </si>
  <si>
    <t xml:space="preserve">- (writes fraud_list, updates order_checks.status)</t>
  </si>
  <si>
    <t xml:space="preserve">Catch returning fraudster</t>
  </si>
  <si>
    <t xml:space="preserve">Flag their device next visit</t>
  </si>
  <si>
    <t xml:space="preserve">- (bot score reads fraud_list)</t>
  </si>
  <si>
    <t xml:space="preserve">Trust &amp; fraud lists</t>
  </si>
  <si>
    <t xml:space="preserve">Trust or remove customers</t>
  </si>
  <si>
    <t xml:space="preserve">- (edits trust_list, fraud_list)</t>
  </si>
  <si>
    <t xml:space="preserve">6. Testing &amp; Launch</t>
  </si>
  <si>
    <t xml:space="preserve">Bot tests</t>
  </si>
  <si>
    <t xml:space="preserve">Run fake bots against the store</t>
  </si>
  <si>
    <t xml:space="preserve">Fraud tests</t>
  </si>
  <si>
    <t xml:space="preserve">Place 5 test orders</t>
  </si>
  <si>
    <t xml:space="preserve">Full story test</t>
  </si>
  <si>
    <t xml:space="preserve">Run the whole example start to end</t>
  </si>
  <si>
    <t xml:space="preserve">Go live</t>
  </si>
  <si>
    <t xml:space="preserve">Put the app online</t>
  </si>
  <si>
    <t xml:space="preserve">Move from SQLite to Postgres</t>
  </si>
  <si>
    <t xml:space="preserve">Fix bugs</t>
  </si>
  <si>
    <t xml:space="preserve">Spare time for problems</t>
  </si>
  <si>
    <t xml:space="preserve">TOTAL</t>
  </si>
  <si>
    <t xml:space="preserve">Hours are hands-on hours building with Claude Code. Optional items can be skipped to save 3 hours.</t>
  </si>
  <si>
    <t xml:space="preserve">Database tables</t>
  </si>
  <si>
    <t xml:space="preserve">Table</t>
  </si>
  <si>
    <t xml:space="preserve">Created in</t>
  </si>
  <si>
    <t xml:space="preserve">Column</t>
  </si>
  <si>
    <t xml:space="preserve">Type</t>
  </si>
  <si>
    <t xml:space="preserve">Meaning</t>
  </si>
  <si>
    <t xml:space="preserve">sessions</t>
  </si>
  <si>
    <t xml:space="preserve">(from Shopify template)</t>
  </si>
  <si>
    <t xml:space="preserve">Shopify login sessions</t>
  </si>
  <si>
    <t xml:space="preserve">settings</t>
  </si>
  <si>
    <t xml:space="preserve">shop</t>
  </si>
  <si>
    <t xml:space="preserve">text, key</t>
  </si>
  <si>
    <t xml:space="preserve">Store domain</t>
  </si>
  <si>
    <t xml:space="preserve">bot_mode / fraud_mode</t>
  </si>
  <si>
    <t xml:space="preserve">text</t>
  </si>
  <si>
    <t xml:space="preserve">test or live</t>
  </si>
  <si>
    <t xml:space="preserve">bot_low_max / bot_medium_max</t>
  </si>
  <si>
    <t xml:space="preserve">int</t>
  </si>
  <si>
    <t xml:space="preserve">Bot score cut-offs (30 / 70)</t>
  </si>
  <si>
    <t xml:space="preserve">fraud_low_max / fraud_medium_max</t>
  </si>
  <si>
    <t xml:space="preserve">Fraud score cut-offs (30 / 70)</t>
  </si>
  <si>
    <t xml:space="preserve">bot_points / fraud_points</t>
  </si>
  <si>
    <t xml:space="preserve">json</t>
  </si>
  <si>
    <t xml:space="preserve">Points per factor</t>
  </si>
  <si>
    <t xml:space="preserve">auto_cancel</t>
  </si>
  <si>
    <t xml:space="preserve">bool</t>
  </si>
  <si>
    <t xml:space="preserve">Added in Auto-cancel</t>
  </si>
  <si>
    <t xml:space="preserve">risky_categories / risky_limits</t>
  </si>
  <si>
    <t xml:space="preserve">Added in Risky products</t>
  </si>
  <si>
    <t xml:space="preserve">visits</t>
  </si>
  <si>
    <t xml:space="preserve">id</t>
  </si>
  <si>
    <t xml:space="preserve">int, key</t>
  </si>
  <si>
    <t xml:space="preserve">device_id</t>
  </si>
  <si>
    <t xml:space="preserve">From the visitor cookie</t>
  </si>
  <si>
    <t xml:space="preserve">ip</t>
  </si>
  <si>
    <t xml:space="preserve">page</t>
  </si>
  <si>
    <t xml:space="preserve">score</t>
  </si>
  <si>
    <t xml:space="preserve">0-100</t>
  </si>
  <si>
    <t xml:space="preserve">reasons</t>
  </si>
  <si>
    <t xml:space="preserve">Which checks added points</t>
  </si>
  <si>
    <t xml:space="preserve">action</t>
  </si>
  <si>
    <t xml:space="preserve">allow / challenge / block</t>
  </si>
  <si>
    <t xml:space="preserve">created_at</t>
  </si>
  <si>
    <t xml:space="preserve">datetime</t>
  </si>
  <si>
    <t xml:space="preserve">fraud_list</t>
  </si>
  <si>
    <t xml:space="preserve">type</t>
  </si>
  <si>
    <t xml:space="preserve">email / phone / address / card / device / ip</t>
  </si>
  <si>
    <t xml:space="preserve">value</t>
  </si>
  <si>
    <t xml:space="preserve">The flagged value</t>
  </si>
  <si>
    <t xml:space="preserve">order_id</t>
  </si>
  <si>
    <t xml:space="preserve">Order that confirmed the fraud</t>
  </si>
  <si>
    <t xml:space="preserve">order_checks</t>
  </si>
  <si>
    <t xml:space="preserve">Shopify order</t>
  </si>
  <si>
    <t xml:space="preserve">customer_id</t>
  </si>
  <si>
    <t xml:space="preserve">email / phone / ip</t>
  </si>
  <si>
    <t xml:space="preserve">billing / shipping</t>
  </si>
  <si>
    <t xml:space="preserve">Addresses</t>
  </si>
  <si>
    <t xml:space="preserve">card_last4 / card_brand</t>
  </si>
  <si>
    <t xml:space="preserve">device_id / bot_score</t>
  </si>
  <si>
    <t xml:space="preserve">text / int</t>
  </si>
  <si>
    <t xml:space="preserve">Carried from the visit</t>
  </si>
  <si>
    <t xml:space="preserve">Plain-English reasons</t>
  </si>
  <si>
    <t xml:space="preserve">decision</t>
  </si>
  <si>
    <t xml:space="preserve">approve / hold / cancel</t>
  </si>
  <si>
    <t xml:space="preserve">status</t>
  </si>
  <si>
    <t xml:space="preserve">approved / held / cancelled / fraud</t>
  </si>
  <si>
    <t xml:space="preserve">staff_actions</t>
  </si>
  <si>
    <t xml:space="preserve">approve / cancel / unblock / mark_fraud / remove / reinstate</t>
  </si>
  <si>
    <t xml:space="preserve">target</t>
  </si>
  <si>
    <t xml:space="preserve">Order, device or list entry</t>
  </si>
  <si>
    <t xml:space="preserve">note</t>
  </si>
  <si>
    <t xml:space="preserve">trust_list</t>
  </si>
  <si>
    <t xml:space="preserve">device / customer / email / ip</t>
  </si>
  <si>
    <t xml:space="preserve">reason</t>
  </si>
  <si>
    <t xml:space="preserve">expires_at</t>
  </si>
  <si>
    <t xml:space="preserve">Empty = forever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</si>
</sst>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i val="true"/>
      <sz val="9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9E1F2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3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28"/>
    <col collapsed="false" customWidth="true" hidden="false" outlineLevel="0" max="3" min="3" style="0" width="36"/>
    <col collapsed="false" customWidth="true" hidden="false" outlineLevel="0" max="4" min="4" style="0" width="60"/>
    <col collapsed="false" customWidth="true" hidden="false" outlineLevel="0" max="5" min="5" style="0" width="9"/>
  </cols>
  <sheetData>
    <row r="1" customFormat="false" ht="17.35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</row>
    <row r="4" customFormat="false" ht="15" hidden="false" customHeight="false" outlineLevel="0" collapsed="false">
      <c r="A4" s="3" t="s">
        <v>6</v>
      </c>
      <c r="B4" s="3"/>
      <c r="C4" s="3"/>
      <c r="D4" s="3"/>
      <c r="E4" s="4" t="n">
        <f aca="false">SUM(E5:E7)</f>
        <v>3.75</v>
      </c>
    </row>
    <row r="5" customFormat="false" ht="26.85" hidden="false" customHeight="false" outlineLevel="0" collapsed="false">
      <c r="A5" s="5"/>
      <c r="B5" s="5" t="s">
        <v>7</v>
      </c>
      <c r="C5" s="5" t="s">
        <v>8</v>
      </c>
      <c r="D5" s="5" t="s">
        <v>9</v>
      </c>
      <c r="E5" s="6" t="n">
        <v>2</v>
      </c>
    </row>
    <row r="6" customFormat="false" ht="26.85" hidden="false" customHeight="false" outlineLevel="0" collapsed="false">
      <c r="A6" s="5"/>
      <c r="B6" s="5" t="s">
        <v>10</v>
      </c>
      <c r="C6" s="5" t="s">
        <v>11</v>
      </c>
      <c r="D6" s="5" t="s">
        <v>12</v>
      </c>
      <c r="E6" s="6" t="n">
        <v>0.75</v>
      </c>
    </row>
    <row r="7" customFormat="false" ht="15" hidden="false" customHeight="false" outlineLevel="0" collapsed="false">
      <c r="A7" s="5"/>
      <c r="B7" s="5" t="s">
        <v>13</v>
      </c>
      <c r="C7" s="5" t="s">
        <v>14</v>
      </c>
      <c r="D7" s="5" t="s">
        <v>15</v>
      </c>
      <c r="E7" s="6" t="n">
        <v>1</v>
      </c>
    </row>
    <row r="8" customFormat="false" ht="15" hidden="false" customHeight="false" outlineLevel="0" collapsed="false">
      <c r="A8" s="3" t="s">
        <v>16</v>
      </c>
      <c r="B8" s="3"/>
      <c r="C8" s="3"/>
      <c r="D8" s="3"/>
      <c r="E8" s="4" t="n">
        <f aca="false">SUM(E9:E16)</f>
        <v>13.75</v>
      </c>
    </row>
    <row r="9" customFormat="false" ht="15" hidden="false" customHeight="false" outlineLevel="0" collapsed="false">
      <c r="A9" s="5"/>
      <c r="B9" s="5" t="s">
        <v>17</v>
      </c>
      <c r="C9" s="5" t="s">
        <v>18</v>
      </c>
      <c r="D9" s="5" t="s">
        <v>15</v>
      </c>
      <c r="E9" s="6" t="n">
        <v>2</v>
      </c>
    </row>
    <row r="10" customFormat="false" ht="15" hidden="false" customHeight="false" outlineLevel="0" collapsed="false">
      <c r="A10" s="5"/>
      <c r="B10" s="5" t="s">
        <v>19</v>
      </c>
      <c r="C10" s="5" t="s">
        <v>20</v>
      </c>
      <c r="D10" s="5" t="s">
        <v>15</v>
      </c>
      <c r="E10" s="6" t="n">
        <v>1.5</v>
      </c>
    </row>
    <row r="11" customFormat="false" ht="15" hidden="false" customHeight="false" outlineLevel="0" collapsed="false">
      <c r="A11" s="5"/>
      <c r="B11" s="5" t="s">
        <v>21</v>
      </c>
      <c r="C11" s="5" t="s">
        <v>22</v>
      </c>
      <c r="D11" s="5" t="s">
        <v>15</v>
      </c>
      <c r="E11" s="6" t="n">
        <v>2</v>
      </c>
    </row>
    <row r="12" customFormat="false" ht="15" hidden="false" customHeight="false" outlineLevel="0" collapsed="false">
      <c r="A12" s="5"/>
      <c r="B12" s="5" t="s">
        <v>23</v>
      </c>
      <c r="C12" s="5" t="s">
        <v>24</v>
      </c>
      <c r="D12" s="5" t="s">
        <v>25</v>
      </c>
      <c r="E12" s="6" t="n">
        <v>3</v>
      </c>
    </row>
    <row r="13" customFormat="false" ht="26.85" hidden="false" customHeight="false" outlineLevel="0" collapsed="false">
      <c r="A13" s="5"/>
      <c r="B13" s="5" t="s">
        <v>26</v>
      </c>
      <c r="C13" s="5" t="s">
        <v>27</v>
      </c>
      <c r="D13" s="5" t="s">
        <v>28</v>
      </c>
      <c r="E13" s="6" t="n">
        <v>0.75</v>
      </c>
    </row>
    <row r="14" customFormat="false" ht="15" hidden="false" customHeight="false" outlineLevel="0" collapsed="false">
      <c r="A14" s="5"/>
      <c r="B14" s="5" t="s">
        <v>29</v>
      </c>
      <c r="C14" s="5" t="s">
        <v>30</v>
      </c>
      <c r="D14" s="5" t="s">
        <v>15</v>
      </c>
      <c r="E14" s="6" t="n">
        <v>2.5</v>
      </c>
    </row>
    <row r="15" customFormat="false" ht="15" hidden="false" customHeight="false" outlineLevel="0" collapsed="false">
      <c r="A15" s="5"/>
      <c r="B15" s="5" t="s">
        <v>31</v>
      </c>
      <c r="C15" s="5" t="s">
        <v>32</v>
      </c>
      <c r="D15" s="5" t="s">
        <v>33</v>
      </c>
      <c r="E15" s="6" t="n">
        <v>1</v>
      </c>
    </row>
    <row r="16" customFormat="false" ht="15" hidden="false" customHeight="false" outlineLevel="0" collapsed="false">
      <c r="A16" s="5"/>
      <c r="B16" s="5" t="s">
        <v>34</v>
      </c>
      <c r="C16" s="5" t="s">
        <v>35</v>
      </c>
      <c r="D16" s="5" t="s">
        <v>15</v>
      </c>
      <c r="E16" s="6" t="n">
        <v>1</v>
      </c>
    </row>
    <row r="17" customFormat="false" ht="15" hidden="false" customHeight="false" outlineLevel="0" collapsed="false">
      <c r="A17" s="3" t="s">
        <v>36</v>
      </c>
      <c r="B17" s="3"/>
      <c r="C17" s="3"/>
      <c r="D17" s="3"/>
      <c r="E17" s="4" t="n">
        <f aca="false">SUM(E18:E29)</f>
        <v>15.5</v>
      </c>
    </row>
    <row r="18" customFormat="false" ht="15" hidden="false" customHeight="false" outlineLevel="0" collapsed="false">
      <c r="A18" s="5"/>
      <c r="B18" s="5" t="s">
        <v>37</v>
      </c>
      <c r="C18" s="5" t="s">
        <v>38</v>
      </c>
      <c r="D18" s="5" t="s">
        <v>15</v>
      </c>
      <c r="E18" s="6" t="n">
        <v>1.5</v>
      </c>
    </row>
    <row r="19" customFormat="false" ht="39.55" hidden="false" customHeight="false" outlineLevel="0" collapsed="false">
      <c r="A19" s="5"/>
      <c r="B19" s="5" t="s">
        <v>39</v>
      </c>
      <c r="C19" s="5" t="s">
        <v>40</v>
      </c>
      <c r="D19" s="5" t="s">
        <v>41</v>
      </c>
      <c r="E19" s="6" t="n">
        <v>1.25</v>
      </c>
    </row>
    <row r="20" customFormat="false" ht="15" hidden="false" customHeight="false" outlineLevel="0" collapsed="false">
      <c r="A20" s="5"/>
      <c r="B20" s="5" t="s">
        <v>42</v>
      </c>
      <c r="C20" s="5" t="s">
        <v>43</v>
      </c>
      <c r="D20" s="5" t="s">
        <v>15</v>
      </c>
      <c r="E20" s="6" t="n">
        <v>1</v>
      </c>
    </row>
    <row r="21" customFormat="false" ht="15" hidden="false" customHeight="false" outlineLevel="0" collapsed="false">
      <c r="A21" s="5"/>
      <c r="B21" s="5" t="s">
        <v>44</v>
      </c>
      <c r="C21" s="5" t="s">
        <v>45</v>
      </c>
      <c r="D21" s="5" t="s">
        <v>15</v>
      </c>
      <c r="E21" s="6" t="n">
        <v>2.5</v>
      </c>
    </row>
    <row r="22" customFormat="false" ht="15" hidden="false" customHeight="false" outlineLevel="0" collapsed="false">
      <c r="A22" s="5"/>
      <c r="B22" s="5" t="s">
        <v>46</v>
      </c>
      <c r="C22" s="5" t="s">
        <v>47</v>
      </c>
      <c r="D22" s="5" t="s">
        <v>15</v>
      </c>
      <c r="E22" s="6" t="n">
        <v>0.5</v>
      </c>
    </row>
    <row r="23" customFormat="false" ht="39.55" hidden="false" customHeight="false" outlineLevel="0" collapsed="false">
      <c r="A23" s="5"/>
      <c r="B23" s="5" t="s">
        <v>48</v>
      </c>
      <c r="C23" s="5" t="s">
        <v>49</v>
      </c>
      <c r="D23" s="5" t="s">
        <v>50</v>
      </c>
      <c r="E23" s="6" t="n">
        <v>1.25</v>
      </c>
    </row>
    <row r="24" customFormat="false" ht="15" hidden="false" customHeight="false" outlineLevel="0" collapsed="false">
      <c r="A24" s="5"/>
      <c r="B24" s="5" t="s">
        <v>51</v>
      </c>
      <c r="C24" s="5" t="s">
        <v>52</v>
      </c>
      <c r="D24" s="5" t="s">
        <v>53</v>
      </c>
      <c r="E24" s="6" t="n">
        <v>1.5</v>
      </c>
    </row>
    <row r="25" customFormat="false" ht="15" hidden="false" customHeight="false" outlineLevel="0" collapsed="false">
      <c r="A25" s="5"/>
      <c r="B25" s="5" t="s">
        <v>54</v>
      </c>
      <c r="C25" s="5" t="s">
        <v>55</v>
      </c>
      <c r="D25" s="5" t="s">
        <v>56</v>
      </c>
      <c r="E25" s="6" t="n">
        <v>1.5</v>
      </c>
    </row>
    <row r="26" customFormat="false" ht="15" hidden="false" customHeight="false" outlineLevel="0" collapsed="false">
      <c r="A26" s="5"/>
      <c r="B26" s="5" t="s">
        <v>57</v>
      </c>
      <c r="C26" s="5" t="s">
        <v>58</v>
      </c>
      <c r="D26" s="5" t="s">
        <v>59</v>
      </c>
      <c r="E26" s="6" t="n">
        <v>1.5</v>
      </c>
    </row>
    <row r="27" customFormat="false" ht="15" hidden="false" customHeight="false" outlineLevel="0" collapsed="false">
      <c r="A27" s="5"/>
      <c r="B27" s="5" t="s">
        <v>60</v>
      </c>
      <c r="C27" s="5" t="s">
        <v>61</v>
      </c>
      <c r="D27" s="5" t="s">
        <v>62</v>
      </c>
      <c r="E27" s="6" t="n">
        <v>1</v>
      </c>
    </row>
    <row r="28" customFormat="false" ht="15" hidden="false" customHeight="false" outlineLevel="0" collapsed="false">
      <c r="A28" s="5"/>
      <c r="B28" s="5" t="s">
        <v>63</v>
      </c>
      <c r="C28" s="5" t="s">
        <v>64</v>
      </c>
      <c r="D28" s="5" t="s">
        <v>15</v>
      </c>
      <c r="E28" s="6" t="n">
        <v>1</v>
      </c>
    </row>
    <row r="29" customFormat="false" ht="15" hidden="false" customHeight="false" outlineLevel="0" collapsed="false">
      <c r="A29" s="5"/>
      <c r="B29" s="5" t="s">
        <v>65</v>
      </c>
      <c r="C29" s="5" t="s">
        <v>66</v>
      </c>
      <c r="D29" s="5" t="s">
        <v>15</v>
      </c>
      <c r="E29" s="6" t="n">
        <v>1</v>
      </c>
    </row>
    <row r="30" customFormat="false" ht="15" hidden="false" customHeight="false" outlineLevel="0" collapsed="false">
      <c r="A30" s="3" t="s">
        <v>67</v>
      </c>
      <c r="B30" s="3"/>
      <c r="C30" s="3"/>
      <c r="D30" s="3"/>
      <c r="E30" s="4" t="n">
        <f aca="false">SUM(E31:E36)</f>
        <v>11</v>
      </c>
    </row>
    <row r="31" customFormat="false" ht="15" hidden="false" customHeight="false" outlineLevel="0" collapsed="false">
      <c r="A31" s="5"/>
      <c r="B31" s="5" t="s">
        <v>68</v>
      </c>
      <c r="C31" s="5" t="s">
        <v>69</v>
      </c>
      <c r="D31" s="5" t="s">
        <v>15</v>
      </c>
      <c r="E31" s="6" t="n">
        <v>0.5</v>
      </c>
    </row>
    <row r="32" customFormat="false" ht="15" hidden="false" customHeight="false" outlineLevel="0" collapsed="false">
      <c r="A32" s="5"/>
      <c r="B32" s="5" t="s">
        <v>70</v>
      </c>
      <c r="C32" s="5" t="s">
        <v>71</v>
      </c>
      <c r="D32" s="5" t="s">
        <v>72</v>
      </c>
      <c r="E32" s="6" t="n">
        <v>3.25</v>
      </c>
    </row>
    <row r="33" customFormat="false" ht="26.85" hidden="false" customHeight="false" outlineLevel="0" collapsed="false">
      <c r="A33" s="5"/>
      <c r="B33" s="5" t="s">
        <v>73</v>
      </c>
      <c r="C33" s="5" t="s">
        <v>74</v>
      </c>
      <c r="D33" s="5" t="s">
        <v>75</v>
      </c>
      <c r="E33" s="6" t="n">
        <v>1.75</v>
      </c>
    </row>
    <row r="34" customFormat="false" ht="15" hidden="false" customHeight="false" outlineLevel="0" collapsed="false">
      <c r="A34" s="5"/>
      <c r="B34" s="5" t="s">
        <v>76</v>
      </c>
      <c r="C34" s="5" t="s">
        <v>77</v>
      </c>
      <c r="D34" s="5" t="s">
        <v>78</v>
      </c>
      <c r="E34" s="6" t="n">
        <v>2</v>
      </c>
    </row>
    <row r="35" customFormat="false" ht="15" hidden="false" customHeight="false" outlineLevel="0" collapsed="false">
      <c r="A35" s="5"/>
      <c r="B35" s="5" t="s">
        <v>79</v>
      </c>
      <c r="C35" s="5" t="s">
        <v>80</v>
      </c>
      <c r="D35" s="5" t="s">
        <v>81</v>
      </c>
      <c r="E35" s="6" t="n">
        <v>1.5</v>
      </c>
    </row>
    <row r="36" customFormat="false" ht="15" hidden="false" customHeight="false" outlineLevel="0" collapsed="false">
      <c r="A36" s="5"/>
      <c r="B36" s="5" t="s">
        <v>82</v>
      </c>
      <c r="C36" s="5" t="s">
        <v>83</v>
      </c>
      <c r="D36" s="5" t="s">
        <v>84</v>
      </c>
      <c r="E36" s="6" t="n">
        <v>2</v>
      </c>
    </row>
    <row r="37" customFormat="false" ht="15" hidden="false" customHeight="false" outlineLevel="0" collapsed="false">
      <c r="A37" s="3" t="s">
        <v>85</v>
      </c>
      <c r="B37" s="3"/>
      <c r="C37" s="3"/>
      <c r="D37" s="3"/>
      <c r="E37" s="4" t="n">
        <f aca="false">SUM(E38:E40)</f>
        <v>3.5</v>
      </c>
    </row>
    <row r="38" customFormat="false" ht="15" hidden="false" customHeight="false" outlineLevel="0" collapsed="false">
      <c r="A38" s="5"/>
      <c r="B38" s="5" t="s">
        <v>86</v>
      </c>
      <c r="C38" s="5" t="s">
        <v>87</v>
      </c>
      <c r="D38" s="5" t="s">
        <v>88</v>
      </c>
      <c r="E38" s="6" t="n">
        <v>1.5</v>
      </c>
    </row>
    <row r="39" customFormat="false" ht="15" hidden="false" customHeight="false" outlineLevel="0" collapsed="false">
      <c r="A39" s="5"/>
      <c r="B39" s="5" t="s">
        <v>89</v>
      </c>
      <c r="C39" s="5" t="s">
        <v>90</v>
      </c>
      <c r="D39" s="5" t="s">
        <v>91</v>
      </c>
      <c r="E39" s="6" t="n">
        <v>0.5</v>
      </c>
    </row>
    <row r="40" customFormat="false" ht="15" hidden="false" customHeight="false" outlineLevel="0" collapsed="false">
      <c r="A40" s="5"/>
      <c r="B40" s="5" t="s">
        <v>92</v>
      </c>
      <c r="C40" s="5" t="s">
        <v>93</v>
      </c>
      <c r="D40" s="5" t="s">
        <v>94</v>
      </c>
      <c r="E40" s="6" t="n">
        <v>1.5</v>
      </c>
    </row>
    <row r="41" customFormat="false" ht="15" hidden="false" customHeight="false" outlineLevel="0" collapsed="false">
      <c r="A41" s="3" t="s">
        <v>95</v>
      </c>
      <c r="B41" s="3"/>
      <c r="C41" s="3"/>
      <c r="D41" s="3"/>
      <c r="E41" s="4" t="n">
        <f aca="false">SUM(E42:E46)</f>
        <v>9</v>
      </c>
    </row>
    <row r="42" customFormat="false" ht="15" hidden="false" customHeight="false" outlineLevel="0" collapsed="false">
      <c r="A42" s="5"/>
      <c r="B42" s="5" t="s">
        <v>96</v>
      </c>
      <c r="C42" s="5" t="s">
        <v>97</v>
      </c>
      <c r="D42" s="5" t="s">
        <v>15</v>
      </c>
      <c r="E42" s="6" t="n">
        <v>1.5</v>
      </c>
    </row>
    <row r="43" customFormat="false" ht="15" hidden="false" customHeight="false" outlineLevel="0" collapsed="false">
      <c r="A43" s="5"/>
      <c r="B43" s="5" t="s">
        <v>98</v>
      </c>
      <c r="C43" s="5" t="s">
        <v>99</v>
      </c>
      <c r="D43" s="5" t="s">
        <v>15</v>
      </c>
      <c r="E43" s="6" t="n">
        <v>1.5</v>
      </c>
    </row>
    <row r="44" customFormat="false" ht="15" hidden="false" customHeight="false" outlineLevel="0" collapsed="false">
      <c r="A44" s="5"/>
      <c r="B44" s="5" t="s">
        <v>100</v>
      </c>
      <c r="C44" s="5" t="s">
        <v>101</v>
      </c>
      <c r="D44" s="5" t="s">
        <v>15</v>
      </c>
      <c r="E44" s="6" t="n">
        <v>1</v>
      </c>
    </row>
    <row r="45" customFormat="false" ht="15" hidden="false" customHeight="false" outlineLevel="0" collapsed="false">
      <c r="A45" s="5"/>
      <c r="B45" s="5" t="s">
        <v>102</v>
      </c>
      <c r="C45" s="5" t="s">
        <v>103</v>
      </c>
      <c r="D45" s="5" t="s">
        <v>104</v>
      </c>
      <c r="E45" s="6" t="n">
        <v>2</v>
      </c>
    </row>
    <row r="46" customFormat="false" ht="15" hidden="false" customHeight="false" outlineLevel="0" collapsed="false">
      <c r="A46" s="5"/>
      <c r="B46" s="5" t="s">
        <v>105</v>
      </c>
      <c r="C46" s="5" t="s">
        <v>106</v>
      </c>
      <c r="D46" s="5" t="s">
        <v>15</v>
      </c>
      <c r="E46" s="6" t="n">
        <v>3</v>
      </c>
    </row>
    <row r="47" customFormat="false" ht="15" hidden="false" customHeight="false" outlineLevel="0" collapsed="false">
      <c r="A47" s="7" t="s">
        <v>107</v>
      </c>
      <c r="B47" s="7"/>
      <c r="C47" s="7"/>
      <c r="D47" s="7"/>
      <c r="E47" s="8" t="n">
        <f aca="false">E4+E8+E17+E30+E37+E41</f>
        <v>56.5</v>
      </c>
    </row>
    <row r="49" customFormat="false" ht="15" hidden="false" customHeight="false" outlineLevel="0" collapsed="false">
      <c r="A49" s="9" t="s">
        <v>108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20"/>
    <col collapsed="false" customWidth="true" hidden="false" outlineLevel="0" max="3" min="3" style="0" width="32"/>
    <col collapsed="false" customWidth="true" hidden="false" outlineLevel="0" max="4" min="4" style="0" width="12"/>
    <col collapsed="false" customWidth="true" hidden="false" outlineLevel="0" max="5" min="5" style="0" width="48"/>
  </cols>
  <sheetData>
    <row r="1" customFormat="false" ht="17.35" hidden="false" customHeight="false" outlineLevel="0" collapsed="false">
      <c r="A1" s="1" t="s">
        <v>109</v>
      </c>
    </row>
    <row r="3" customFormat="false" ht="15" hidden="false" customHeight="false" outlineLevel="0" collapsed="false">
      <c r="A3" s="10" t="s">
        <v>110</v>
      </c>
      <c r="B3" s="10" t="s">
        <v>111</v>
      </c>
      <c r="C3" s="10" t="s">
        <v>112</v>
      </c>
      <c r="D3" s="10" t="s">
        <v>113</v>
      </c>
      <c r="E3" s="10" t="s">
        <v>114</v>
      </c>
    </row>
    <row r="4" customFormat="false" ht="15" hidden="false" customHeight="false" outlineLevel="0" collapsed="false">
      <c r="A4" s="3" t="s">
        <v>115</v>
      </c>
      <c r="B4" s="3" t="s">
        <v>7</v>
      </c>
      <c r="C4" s="11" t="s">
        <v>116</v>
      </c>
      <c r="D4" s="11"/>
      <c r="E4" s="11" t="s">
        <v>117</v>
      </c>
    </row>
    <row r="5" customFormat="false" ht="15" hidden="false" customHeight="false" outlineLevel="0" collapsed="false">
      <c r="A5" s="3" t="s">
        <v>118</v>
      </c>
      <c r="B5" s="3" t="s">
        <v>10</v>
      </c>
      <c r="C5" s="11" t="s">
        <v>119</v>
      </c>
      <c r="D5" s="11" t="s">
        <v>120</v>
      </c>
      <c r="E5" s="11" t="s">
        <v>121</v>
      </c>
    </row>
    <row r="6" customFormat="false" ht="15" hidden="false" customHeight="false" outlineLevel="0" collapsed="false">
      <c r="A6" s="12"/>
      <c r="B6" s="12"/>
      <c r="C6" s="12" t="s">
        <v>122</v>
      </c>
      <c r="D6" s="12" t="s">
        <v>123</v>
      </c>
      <c r="E6" s="12" t="s">
        <v>124</v>
      </c>
    </row>
    <row r="7" customFormat="false" ht="15" hidden="false" customHeight="false" outlineLevel="0" collapsed="false">
      <c r="A7" s="12"/>
      <c r="B7" s="12"/>
      <c r="C7" s="12" t="s">
        <v>125</v>
      </c>
      <c r="D7" s="12" t="s">
        <v>126</v>
      </c>
      <c r="E7" s="12" t="s">
        <v>127</v>
      </c>
    </row>
    <row r="8" customFormat="false" ht="15" hidden="false" customHeight="false" outlineLevel="0" collapsed="false">
      <c r="A8" s="12"/>
      <c r="B8" s="12"/>
      <c r="C8" s="12" t="s">
        <v>128</v>
      </c>
      <c r="D8" s="12" t="s">
        <v>126</v>
      </c>
      <c r="E8" s="12" t="s">
        <v>129</v>
      </c>
    </row>
    <row r="9" customFormat="false" ht="15" hidden="false" customHeight="false" outlineLevel="0" collapsed="false">
      <c r="A9" s="12"/>
      <c r="B9" s="12"/>
      <c r="C9" s="12" t="s">
        <v>130</v>
      </c>
      <c r="D9" s="12" t="s">
        <v>131</v>
      </c>
      <c r="E9" s="12" t="s">
        <v>132</v>
      </c>
    </row>
    <row r="10" customFormat="false" ht="15" hidden="false" customHeight="false" outlineLevel="0" collapsed="false">
      <c r="A10" s="12"/>
      <c r="B10" s="12"/>
      <c r="C10" s="12" t="s">
        <v>133</v>
      </c>
      <c r="D10" s="12" t="s">
        <v>134</v>
      </c>
      <c r="E10" s="12" t="s">
        <v>135</v>
      </c>
    </row>
    <row r="11" customFormat="false" ht="15" hidden="false" customHeight="false" outlineLevel="0" collapsed="false">
      <c r="A11" s="12"/>
      <c r="B11" s="12"/>
      <c r="C11" s="12" t="s">
        <v>136</v>
      </c>
      <c r="D11" s="12" t="s">
        <v>131</v>
      </c>
      <c r="E11" s="12" t="s">
        <v>137</v>
      </c>
    </row>
    <row r="12" customFormat="false" ht="15" hidden="false" customHeight="false" outlineLevel="0" collapsed="false">
      <c r="A12" s="3" t="s">
        <v>138</v>
      </c>
      <c r="B12" s="3" t="s">
        <v>26</v>
      </c>
      <c r="C12" s="11" t="s">
        <v>139</v>
      </c>
      <c r="D12" s="11" t="s">
        <v>140</v>
      </c>
      <c r="E12" s="11"/>
    </row>
    <row r="13" customFormat="false" ht="15" hidden="false" customHeight="false" outlineLevel="0" collapsed="false">
      <c r="A13" s="12"/>
      <c r="B13" s="12"/>
      <c r="C13" s="12" t="s">
        <v>119</v>
      </c>
      <c r="D13" s="12" t="s">
        <v>123</v>
      </c>
      <c r="E13" s="12"/>
    </row>
    <row r="14" customFormat="false" ht="15" hidden="false" customHeight="false" outlineLevel="0" collapsed="false">
      <c r="A14" s="12"/>
      <c r="B14" s="12"/>
      <c r="C14" s="12" t="s">
        <v>141</v>
      </c>
      <c r="D14" s="12" t="s">
        <v>123</v>
      </c>
      <c r="E14" s="12" t="s">
        <v>142</v>
      </c>
    </row>
    <row r="15" customFormat="false" ht="15" hidden="false" customHeight="false" outlineLevel="0" collapsed="false">
      <c r="A15" s="12"/>
      <c r="B15" s="12"/>
      <c r="C15" s="12" t="s">
        <v>143</v>
      </c>
      <c r="D15" s="12" t="s">
        <v>123</v>
      </c>
      <c r="E15" s="12"/>
    </row>
    <row r="16" customFormat="false" ht="15" hidden="false" customHeight="false" outlineLevel="0" collapsed="false">
      <c r="A16" s="12"/>
      <c r="B16" s="12"/>
      <c r="C16" s="12" t="s">
        <v>144</v>
      </c>
      <c r="D16" s="12" t="s">
        <v>123</v>
      </c>
      <c r="E16" s="12"/>
    </row>
    <row r="17" customFormat="false" ht="15" hidden="false" customHeight="false" outlineLevel="0" collapsed="false">
      <c r="A17" s="12"/>
      <c r="B17" s="12"/>
      <c r="C17" s="12" t="s">
        <v>145</v>
      </c>
      <c r="D17" s="12" t="s">
        <v>126</v>
      </c>
      <c r="E17" s="12" t="s">
        <v>146</v>
      </c>
    </row>
    <row r="18" customFormat="false" ht="15" hidden="false" customHeight="false" outlineLevel="0" collapsed="false">
      <c r="A18" s="12"/>
      <c r="B18" s="12"/>
      <c r="C18" s="12" t="s">
        <v>147</v>
      </c>
      <c r="D18" s="12" t="s">
        <v>131</v>
      </c>
      <c r="E18" s="12" t="s">
        <v>148</v>
      </c>
    </row>
    <row r="19" customFormat="false" ht="15" hidden="false" customHeight="false" outlineLevel="0" collapsed="false">
      <c r="A19" s="12"/>
      <c r="B19" s="12"/>
      <c r="C19" s="12" t="s">
        <v>149</v>
      </c>
      <c r="D19" s="12" t="s">
        <v>123</v>
      </c>
      <c r="E19" s="12" t="s">
        <v>150</v>
      </c>
    </row>
    <row r="20" customFormat="false" ht="15" hidden="false" customHeight="false" outlineLevel="0" collapsed="false">
      <c r="A20" s="12"/>
      <c r="B20" s="12"/>
      <c r="C20" s="12" t="s">
        <v>151</v>
      </c>
      <c r="D20" s="12" t="s">
        <v>152</v>
      </c>
      <c r="E20" s="12"/>
    </row>
    <row r="21" customFormat="false" ht="15" hidden="false" customHeight="false" outlineLevel="0" collapsed="false">
      <c r="A21" s="3" t="s">
        <v>153</v>
      </c>
      <c r="B21" s="3" t="s">
        <v>39</v>
      </c>
      <c r="C21" s="11" t="s">
        <v>139</v>
      </c>
      <c r="D21" s="11" t="s">
        <v>140</v>
      </c>
      <c r="E21" s="11"/>
    </row>
    <row r="22" customFormat="false" ht="15" hidden="false" customHeight="false" outlineLevel="0" collapsed="false">
      <c r="A22" s="12"/>
      <c r="B22" s="12"/>
      <c r="C22" s="12" t="s">
        <v>119</v>
      </c>
      <c r="D22" s="12" t="s">
        <v>123</v>
      </c>
      <c r="E22" s="12"/>
    </row>
    <row r="23" customFormat="false" ht="15" hidden="false" customHeight="false" outlineLevel="0" collapsed="false">
      <c r="A23" s="12"/>
      <c r="B23" s="12"/>
      <c r="C23" s="12" t="s">
        <v>154</v>
      </c>
      <c r="D23" s="12" t="s">
        <v>123</v>
      </c>
      <c r="E23" s="12" t="s">
        <v>155</v>
      </c>
    </row>
    <row r="24" customFormat="false" ht="15" hidden="false" customHeight="false" outlineLevel="0" collapsed="false">
      <c r="A24" s="12"/>
      <c r="B24" s="12"/>
      <c r="C24" s="12" t="s">
        <v>156</v>
      </c>
      <c r="D24" s="12" t="s">
        <v>123</v>
      </c>
      <c r="E24" s="12" t="s">
        <v>157</v>
      </c>
    </row>
    <row r="25" customFormat="false" ht="15" hidden="false" customHeight="false" outlineLevel="0" collapsed="false">
      <c r="A25" s="12"/>
      <c r="B25" s="12"/>
      <c r="C25" s="12" t="s">
        <v>158</v>
      </c>
      <c r="D25" s="12" t="s">
        <v>123</v>
      </c>
      <c r="E25" s="12" t="s">
        <v>159</v>
      </c>
    </row>
    <row r="26" customFormat="false" ht="15" hidden="false" customHeight="false" outlineLevel="0" collapsed="false">
      <c r="A26" s="12"/>
      <c r="B26" s="12"/>
      <c r="C26" s="12" t="s">
        <v>151</v>
      </c>
      <c r="D26" s="12" t="s">
        <v>152</v>
      </c>
      <c r="E26" s="12"/>
    </row>
    <row r="27" customFormat="false" ht="15" hidden="false" customHeight="false" outlineLevel="0" collapsed="false">
      <c r="A27" s="3" t="s">
        <v>160</v>
      </c>
      <c r="B27" s="3" t="s">
        <v>48</v>
      </c>
      <c r="C27" s="11" t="s">
        <v>139</v>
      </c>
      <c r="D27" s="11" t="s">
        <v>140</v>
      </c>
      <c r="E27" s="11"/>
    </row>
    <row r="28" customFormat="false" ht="15" hidden="false" customHeight="false" outlineLevel="0" collapsed="false">
      <c r="A28" s="12"/>
      <c r="B28" s="12"/>
      <c r="C28" s="12" t="s">
        <v>119</v>
      </c>
      <c r="D28" s="12" t="s">
        <v>123</v>
      </c>
      <c r="E28" s="12"/>
    </row>
    <row r="29" customFormat="false" ht="15" hidden="false" customHeight="false" outlineLevel="0" collapsed="false">
      <c r="A29" s="12"/>
      <c r="B29" s="12"/>
      <c r="C29" s="12" t="s">
        <v>158</v>
      </c>
      <c r="D29" s="12" t="s">
        <v>123</v>
      </c>
      <c r="E29" s="12" t="s">
        <v>161</v>
      </c>
    </row>
    <row r="30" customFormat="false" ht="15" hidden="false" customHeight="false" outlineLevel="0" collapsed="false">
      <c r="A30" s="12"/>
      <c r="B30" s="12"/>
      <c r="C30" s="12" t="s">
        <v>162</v>
      </c>
      <c r="D30" s="12" t="s">
        <v>123</v>
      </c>
      <c r="E30" s="12"/>
    </row>
    <row r="31" customFormat="false" ht="15" hidden="false" customHeight="false" outlineLevel="0" collapsed="false">
      <c r="A31" s="12"/>
      <c r="B31" s="12"/>
      <c r="C31" s="12" t="s">
        <v>163</v>
      </c>
      <c r="D31" s="12" t="s">
        <v>123</v>
      </c>
      <c r="E31" s="12"/>
    </row>
    <row r="32" customFormat="false" ht="15" hidden="false" customHeight="false" outlineLevel="0" collapsed="false">
      <c r="A32" s="12"/>
      <c r="B32" s="12"/>
      <c r="C32" s="12" t="s">
        <v>164</v>
      </c>
      <c r="D32" s="12" t="s">
        <v>123</v>
      </c>
      <c r="E32" s="12" t="s">
        <v>165</v>
      </c>
    </row>
    <row r="33" customFormat="false" ht="15" hidden="false" customHeight="false" outlineLevel="0" collapsed="false">
      <c r="A33" s="12"/>
      <c r="B33" s="12"/>
      <c r="C33" s="12" t="s">
        <v>166</v>
      </c>
      <c r="D33" s="12" t="s">
        <v>123</v>
      </c>
      <c r="E33" s="12"/>
    </row>
    <row r="34" customFormat="false" ht="15" hidden="false" customHeight="false" outlineLevel="0" collapsed="false">
      <c r="A34" s="12"/>
      <c r="B34" s="12"/>
      <c r="C34" s="12" t="s">
        <v>167</v>
      </c>
      <c r="D34" s="12" t="s">
        <v>168</v>
      </c>
      <c r="E34" s="12" t="s">
        <v>169</v>
      </c>
    </row>
    <row r="35" customFormat="false" ht="15" hidden="false" customHeight="false" outlineLevel="0" collapsed="false">
      <c r="A35" s="12"/>
      <c r="B35" s="12"/>
      <c r="C35" s="12" t="s">
        <v>145</v>
      </c>
      <c r="D35" s="12" t="s">
        <v>126</v>
      </c>
      <c r="E35" s="12" t="s">
        <v>146</v>
      </c>
    </row>
    <row r="36" customFormat="false" ht="15" hidden="false" customHeight="false" outlineLevel="0" collapsed="false">
      <c r="A36" s="12"/>
      <c r="B36" s="12"/>
      <c r="C36" s="12" t="s">
        <v>147</v>
      </c>
      <c r="D36" s="12" t="s">
        <v>131</v>
      </c>
      <c r="E36" s="12" t="s">
        <v>170</v>
      </c>
    </row>
    <row r="37" customFormat="false" ht="15" hidden="false" customHeight="false" outlineLevel="0" collapsed="false">
      <c r="A37" s="12"/>
      <c r="B37" s="12"/>
      <c r="C37" s="12" t="s">
        <v>171</v>
      </c>
      <c r="D37" s="12" t="s">
        <v>123</v>
      </c>
      <c r="E37" s="12" t="s">
        <v>172</v>
      </c>
    </row>
    <row r="38" customFormat="false" ht="15" hidden="false" customHeight="false" outlineLevel="0" collapsed="false">
      <c r="A38" s="12"/>
      <c r="B38" s="12"/>
      <c r="C38" s="12" t="s">
        <v>173</v>
      </c>
      <c r="D38" s="12" t="s">
        <v>123</v>
      </c>
      <c r="E38" s="12" t="s">
        <v>174</v>
      </c>
    </row>
    <row r="39" customFormat="false" ht="15" hidden="false" customHeight="false" outlineLevel="0" collapsed="false">
      <c r="A39" s="12"/>
      <c r="B39" s="12"/>
      <c r="C39" s="12" t="s">
        <v>151</v>
      </c>
      <c r="D39" s="12" t="s">
        <v>152</v>
      </c>
      <c r="E39" s="12"/>
    </row>
    <row r="40" customFormat="false" ht="15" hidden="false" customHeight="false" outlineLevel="0" collapsed="false">
      <c r="A40" s="3" t="s">
        <v>175</v>
      </c>
      <c r="B40" s="3" t="s">
        <v>70</v>
      </c>
      <c r="C40" s="11" t="s">
        <v>139</v>
      </c>
      <c r="D40" s="11" t="s">
        <v>140</v>
      </c>
      <c r="E40" s="11"/>
    </row>
    <row r="41" customFormat="false" ht="15" hidden="false" customHeight="false" outlineLevel="0" collapsed="false">
      <c r="A41" s="12"/>
      <c r="B41" s="12"/>
      <c r="C41" s="12" t="s">
        <v>119</v>
      </c>
      <c r="D41" s="12" t="s">
        <v>123</v>
      </c>
      <c r="E41" s="12"/>
    </row>
    <row r="42" customFormat="false" ht="15" hidden="false" customHeight="false" outlineLevel="0" collapsed="false">
      <c r="A42" s="12"/>
      <c r="B42" s="12"/>
      <c r="C42" s="12" t="s">
        <v>149</v>
      </c>
      <c r="D42" s="12" t="s">
        <v>123</v>
      </c>
      <c r="E42" s="12" t="s">
        <v>176</v>
      </c>
    </row>
    <row r="43" customFormat="false" ht="15" hidden="false" customHeight="false" outlineLevel="0" collapsed="false">
      <c r="A43" s="12"/>
      <c r="B43" s="12"/>
      <c r="C43" s="12" t="s">
        <v>177</v>
      </c>
      <c r="D43" s="12" t="s">
        <v>123</v>
      </c>
      <c r="E43" s="12" t="s">
        <v>178</v>
      </c>
    </row>
    <row r="44" customFormat="false" ht="15" hidden="false" customHeight="false" outlineLevel="0" collapsed="false">
      <c r="A44" s="12"/>
      <c r="B44" s="12"/>
      <c r="C44" s="12" t="s">
        <v>179</v>
      </c>
      <c r="D44" s="12" t="s">
        <v>123</v>
      </c>
      <c r="E44" s="12"/>
    </row>
    <row r="45" customFormat="false" ht="15" hidden="false" customHeight="false" outlineLevel="0" collapsed="false">
      <c r="A45" s="12"/>
      <c r="B45" s="12"/>
      <c r="C45" s="12" t="s">
        <v>151</v>
      </c>
      <c r="D45" s="12" t="s">
        <v>152</v>
      </c>
      <c r="E45" s="12"/>
    </row>
    <row r="46" customFormat="false" ht="15" hidden="false" customHeight="false" outlineLevel="0" collapsed="false">
      <c r="A46" s="3" t="s">
        <v>180</v>
      </c>
      <c r="B46" s="3" t="s">
        <v>73</v>
      </c>
      <c r="C46" s="11" t="s">
        <v>139</v>
      </c>
      <c r="D46" s="11" t="s">
        <v>140</v>
      </c>
      <c r="E46" s="11"/>
    </row>
    <row r="47" customFormat="false" ht="15" hidden="false" customHeight="false" outlineLevel="0" collapsed="false">
      <c r="A47" s="12"/>
      <c r="B47" s="12"/>
      <c r="C47" s="12" t="s">
        <v>119</v>
      </c>
      <c r="D47" s="12" t="s">
        <v>123</v>
      </c>
      <c r="E47" s="12"/>
    </row>
    <row r="48" customFormat="false" ht="15" hidden="false" customHeight="false" outlineLevel="0" collapsed="false">
      <c r="A48" s="12"/>
      <c r="B48" s="12"/>
      <c r="C48" s="12" t="s">
        <v>154</v>
      </c>
      <c r="D48" s="12" t="s">
        <v>123</v>
      </c>
      <c r="E48" s="12" t="s">
        <v>181</v>
      </c>
    </row>
    <row r="49" customFormat="false" ht="15" hidden="false" customHeight="false" outlineLevel="0" collapsed="false">
      <c r="A49" s="12"/>
      <c r="B49" s="12"/>
      <c r="C49" s="12" t="s">
        <v>156</v>
      </c>
      <c r="D49" s="12" t="s">
        <v>123</v>
      </c>
      <c r="E49" s="12"/>
    </row>
    <row r="50" customFormat="false" ht="15" hidden="false" customHeight="false" outlineLevel="0" collapsed="false">
      <c r="A50" s="12"/>
      <c r="B50" s="12"/>
      <c r="C50" s="12" t="s">
        <v>182</v>
      </c>
      <c r="D50" s="12" t="s">
        <v>123</v>
      </c>
      <c r="E50" s="12"/>
    </row>
    <row r="51" customFormat="false" ht="15" hidden="false" customHeight="false" outlineLevel="0" collapsed="false">
      <c r="A51" s="12"/>
      <c r="B51" s="12"/>
      <c r="C51" s="12" t="s">
        <v>183</v>
      </c>
      <c r="D51" s="12" t="s">
        <v>152</v>
      </c>
      <c r="E51" s="12" t="s">
        <v>184</v>
      </c>
    </row>
    <row r="52" customFormat="false" ht="15" hidden="false" customHeight="false" outlineLevel="0" collapsed="false">
      <c r="A52" s="12"/>
      <c r="B52" s="12"/>
      <c r="C52" s="12" t="s">
        <v>151</v>
      </c>
      <c r="D52" s="12" t="s">
        <v>152</v>
      </c>
      <c r="E52" s="1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2026-10-14T10:45:03Z</dcterms:created>
  <dc:creator>openpyxl</dc:creator>
  <dc:description/>
  <dc:language>en-US</dc:language>
  <cp:lastModifiedBy/>
  <dcterms:modified xsi:type="dcterms:W3CDTF">2026-10-14T10:45:03Z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