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" sheetId="1" state="visible" r:id="rId3"/>
    <sheet name="Sche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<sst xmlns="http://schemas.openxmlformats.org/spreadsheetml/2006/main" count="283" uniqueCount="192">
  <si>
    <t xml:space="preserve">Store Shield - Estimate</t>
  </si>
  <si>
    <t xml:space="preserve">Feature</t>
  </si>
  <si>
    <t xml:space="preserve">Sub-feature</t>
  </si>
  <si>
    <t xml:space="preserve">Description</t>
  </si>
  <si>
    <t xml:space="preserve">Database</t>
  </si>
  <si>
    <t xml:space="preserve">Hours</t>
  </si>
  <si>
    <t xml:space="preserve">1. Bot Block</t>
  </si>
  <si>
    <t xml:space="preserve">App &amp; settings</t>
  </si>
  <si>
    <t xml:space="preserve">Create the Shopify app, run it on the dev store, save default settings</t>
  </si>
  <si>
    <t xml:space="preserve">NEW sessions (Shopify template); NEW settings: shop, bot_checks (off/monitor/block each), blocked_asns, blocked_countries, speed_limit, alert_email</t>
  </si>
  <si>
    <t xml:space="preserve">Store script</t>
  </si>
  <si>
    <t xml:space="preserve">Small script on every store page</t>
  </si>
  <si>
    <t xml:space="preserve">-</t>
  </si>
  <si>
    <t xml:space="preserve">Automation check</t>
  </si>
  <si>
    <t xml:space="preserve">Spot Puppeteer, Selenium, Playwright, headless</t>
  </si>
  <si>
    <t xml:space="preserve">Extension &amp; injection scan</t>
  </si>
  <si>
    <t xml:space="preserve">Spot scraper/scalper extensions in the page</t>
  </si>
  <si>
    <t xml:space="preserve">Visitor check API</t>
  </si>
  <si>
    <t xml:space="preserve">Receive results, get real IP, decide block or not</t>
  </si>
  <si>
    <t xml:space="preserve">NEW visits: shop, device_id, ip, asn, country, page, flags, action, created_at</t>
  </si>
  <si>
    <t xml:space="preserve">Data-centre / VPN / Tor</t>
  </si>
  <si>
    <t xml:space="preserve">IP lookup with GeoLite2, cloud IP lists, Tor list</t>
  </si>
  <si>
    <t xml:space="preserve">- (lists kept as files, refreshed daily)</t>
  </si>
  <si>
    <t xml:space="preserve">ASN &amp; country block</t>
  </si>
  <si>
    <t xml:space="preserve">Block networks or countries the merchant picks</t>
  </si>
  <si>
    <t xml:space="preserve">- (reads settings)</t>
  </si>
  <si>
    <t xml:space="preserve">Speed limit</t>
  </si>
  <si>
    <t xml:space="preserve">Too many pages from one IP or subnet</t>
  </si>
  <si>
    <t xml:space="preserve">- (counter kept in memory)</t>
  </si>
  <si>
    <t xml:space="preserve">Good-bot allowlist</t>
  </si>
  <si>
    <t xml:space="preserve">Never block real Google, Bing, Facebook bots</t>
  </si>
  <si>
    <t xml:space="preserve">Block screen &amp; monitor mode</t>
  </si>
  <si>
    <t xml:space="preserve">Block page with contact link; pass result to checkout</t>
  </si>
  <si>
    <t xml:space="preserve">- (result saved on the Shopify cart)</t>
  </si>
  <si>
    <t xml:space="preserve">Test &amp; fix</t>
  </si>
  <si>
    <t xml:space="preserve">Run fake bots (plain, stealth, data-centre IP) and fix issues</t>
  </si>
  <si>
    <t xml:space="preserve">2. Rules Engine</t>
  </si>
  <si>
    <t xml:space="preserve">Test store</t>
  </si>
  <si>
    <t xml:space="preserve">Sample products, COD and a test card gateway</t>
  </si>
  <si>
    <t xml:space="preserve">Rule engine core</t>
  </si>
  <si>
    <t xml:space="preserve">Store rules, check conditions with ALL/ANY, Live/Test/Off</t>
  </si>
  <si>
    <t xml:space="preserve">NEW rules: shop, name, stage, match, conditions, actions, status, priority, times_triggered, last_triggered_at</t>
  </si>
  <si>
    <t xml:space="preserve">Hide payment methods</t>
  </si>
  <si>
    <t xml:space="preserve">Hide COD or other methods at checkout (Shopify Function)</t>
  </si>
  <si>
    <t xml:space="preserve">- (checkout rules copied to a Shopify metafield)</t>
  </si>
  <si>
    <t xml:space="preserve">New order trigger</t>
  </si>
  <si>
    <t xml:space="preserve">Get full order details when an order is placed</t>
  </si>
  <si>
    <t xml:space="preserve">NEW order_checks: shop, order_id, order_name, ip, email_hash, phone_hash, total, matched_rules, actions_taken, status, created_at</t>
  </si>
  <si>
    <t xml:space="preserve">After-order conditions</t>
  </si>
  <si>
    <t xml:space="preserve">Address mismatch, IP country, Shopify risk, disposable email, cart value...</t>
  </si>
  <si>
    <t xml:space="preserve">Velocity condition</t>
  </si>
  <si>
    <t xml:space="preserve">Many orders from same IP / email / phone in X hours</t>
  </si>
  <si>
    <t xml:space="preserve">- (reads order_checks)</t>
  </si>
  <si>
    <t xml:space="preserve">Fraud history condition</t>
  </si>
  <si>
    <t xml:space="preserve">Matches a past fraud email, phone or address</t>
  </si>
  <si>
    <t xml:space="preserve">NEW fraud_list: shop, type, value_hash, order_id, created_at</t>
  </si>
  <si>
    <t xml:space="preserve">Action: Put in review</t>
  </si>
  <si>
    <t xml:space="preserve">Pause fulfilment and list it for review</t>
  </si>
  <si>
    <t xml:space="preserve">- (updates order_checks.status)</t>
  </si>
  <si>
    <t xml:space="preserve">Action: Auto-cancel</t>
  </si>
  <si>
    <t xml:space="preserve">Cancel with refund / restock / email options</t>
  </si>
  <si>
    <t xml:space="preserve">Action: Tag</t>
  </si>
  <si>
    <t xml:space="preserve">Add tags to the order and/or customer</t>
  </si>
  <si>
    <t xml:space="preserve">Action: Email alert (optional)</t>
  </si>
  <si>
    <t xml:space="preserve">Email the merchant when a rule fires</t>
  </si>
  <si>
    <t xml:space="preserve">Rule conflicts</t>
  </si>
  <si>
    <t xml:space="preserve">Cancel beats review; all tags applied</t>
  </si>
  <si>
    <t xml:space="preserve">Privacy webhooks</t>
  </si>
  <si>
    <t xml:space="preserve">Shopify's required data request / delete handlers</t>
  </si>
  <si>
    <t xml:space="preserve">- (deletes rows for a customer or shop)</t>
  </si>
  <si>
    <t xml:space="preserve">Unit tests, one test order per action, check COD really hides, fix issues</t>
  </si>
  <si>
    <t xml:space="preserve">3. Admin Pages</t>
  </si>
  <si>
    <t xml:space="preserve">Menu &amp; layout</t>
  </si>
  <si>
    <t xml:space="preserve">App navigation and page shells</t>
  </si>
  <si>
    <t xml:space="preserve">Rules list</t>
  </si>
  <si>
    <t xml:space="preserve">See, switch on/off, duplicate, delete rules</t>
  </si>
  <si>
    <t xml:space="preserve">Rule builder</t>
  </si>
  <si>
    <t xml:space="preserve">Pick when, ALL/ANY, conditions and actions</t>
  </si>
  <si>
    <t xml:space="preserve">Starter templates (optional)</t>
  </si>
  <si>
    <t xml:space="preserve">One-click ready-made rules</t>
  </si>
  <si>
    <t xml:space="preserve">Orders list</t>
  </si>
  <si>
    <t xml:space="preserve">Tabs: In review, Cancelled, Tagged, All</t>
  </si>
  <si>
    <t xml:space="preserve">Order detail &amp; review</t>
  </si>
  <si>
    <t xml:space="preserve">Reasons + Approve, Cancel, Mark as fraud</t>
  </si>
  <si>
    <t xml:space="preserve">NEW staff_actions: shop, order_id, action, note, created_at</t>
  </si>
  <si>
    <t xml:space="preserve">Bot Protection page</t>
  </si>
  <si>
    <t xml:space="preserve">Check switches, ASN/country lists, allowlist</t>
  </si>
  <si>
    <t xml:space="preserve">NEW allowlist: shop, type (ip/device/customer/email), value, reason, created_at</t>
  </si>
  <si>
    <t xml:space="preserve">Blocked visitors &amp; unblock</t>
  </si>
  <si>
    <t xml:space="preserve">Log of blocked visitors with Unblock button</t>
  </si>
  <si>
    <t xml:space="preserve">- (adds to allowlist)</t>
  </si>
  <si>
    <t xml:space="preserve">Dashboard tiles</t>
  </si>
  <si>
    <t xml:space="preserve">Blocked, reviewed, cancelled, money saved</t>
  </si>
  <si>
    <t xml:space="preserve">- (counts visits, order_checks)</t>
  </si>
  <si>
    <t xml:space="preserve">Dashboard charts (optional)</t>
  </si>
  <si>
    <t xml:space="preserve">Top reasons, top rules, trend over time</t>
  </si>
  <si>
    <t xml:space="preserve">Go live</t>
  </si>
  <si>
    <t xml:space="preserve">Host app, Postgres, webhooks, deploy the Function</t>
  </si>
  <si>
    <t xml:space="preserve">Move from SQLite to Postgres</t>
  </si>
  <si>
    <t xml:space="preserve">Run the full story end to end on the live app, fix issues</t>
  </si>
  <si>
    <t xml:space="preserve">TOTAL</t>
  </si>
  <si>
    <t xml:space="preserve">Optional items</t>
  </si>
  <si>
    <t xml:space="preserve">Core (without optional)</t>
  </si>
  <si>
    <t xml:space="preserve">Hours are hands-on hours building with Claude Code.</t>
  </si>
  <si>
    <t xml:space="preserve">Ready before hour 0: Shopify Partner account, dev store, free MaxMind account.</t>
  </si>
  <si>
    <t xml:space="preserve">Assumes 'Pay now' means a payment method at checkout, so it shares the Hide payment methods feature with COD.</t>
  </si>
  <si>
    <t xml:space="preserve">To confirm early: Shopify plan rules for hiding payment methods, and that the real visitor IP reaches our server.</t>
  </si>
  <si>
    <t xml:space="preserve">Database tables</t>
  </si>
  <si>
    <t xml:space="preserve">Table</t>
  </si>
  <si>
    <t xml:space="preserve">Created in</t>
  </si>
  <si>
    <t xml:space="preserve">Column</t>
  </si>
  <si>
    <t xml:space="preserve">Type</t>
  </si>
  <si>
    <t xml:space="preserve">Meaning</t>
  </si>
  <si>
    <t xml:space="preserve">sessions</t>
  </si>
  <si>
    <t xml:space="preserve">(from Shopify template)</t>
  </si>
  <si>
    <t xml:space="preserve">Shopify login sessions</t>
  </si>
  <si>
    <t xml:space="preserve">settings</t>
  </si>
  <si>
    <t xml:space="preserve">shop</t>
  </si>
  <si>
    <t xml:space="preserve">text, key</t>
  </si>
  <si>
    <t xml:space="preserve">Store domain</t>
  </si>
  <si>
    <t xml:space="preserve">bot_checks</t>
  </si>
  <si>
    <t xml:space="preserve">json</t>
  </si>
  <si>
    <t xml:space="preserve">Each check: off / monitor / block</t>
  </si>
  <si>
    <t xml:space="preserve">blocked_asns</t>
  </si>
  <si>
    <t xml:space="preserve">Network numbers to block</t>
  </si>
  <si>
    <t xml:space="preserve">blocked_countries</t>
  </si>
  <si>
    <t xml:space="preserve">Country codes to block</t>
  </si>
  <si>
    <t xml:space="preserve">speed_limit</t>
  </si>
  <si>
    <t xml:space="preserve">int</t>
  </si>
  <si>
    <t xml:space="preserve">Max pages per minute per IP</t>
  </si>
  <si>
    <t xml:space="preserve">alert_email</t>
  </si>
  <si>
    <t xml:space="preserve">text</t>
  </si>
  <si>
    <t xml:space="preserve">Where rule alerts go</t>
  </si>
  <si>
    <t xml:space="preserve">visits</t>
  </si>
  <si>
    <t xml:space="preserve">id</t>
  </si>
  <si>
    <t xml:space="preserve">int, key</t>
  </si>
  <si>
    <t xml:space="preserve">device_id</t>
  </si>
  <si>
    <t xml:space="preserve">From the store script cookie</t>
  </si>
  <si>
    <t xml:space="preserve">ip / asn / country</t>
  </si>
  <si>
    <t xml:space="preserve">From the IP lookup</t>
  </si>
  <si>
    <t xml:space="preserve">page</t>
  </si>
  <si>
    <t xml:space="preserve">flags</t>
  </si>
  <si>
    <t xml:space="preserve">Which checks matched</t>
  </si>
  <si>
    <t xml:space="preserve">action</t>
  </si>
  <si>
    <t xml:space="preserve">allow / monitor / block</t>
  </si>
  <si>
    <t xml:space="preserve">created_at</t>
  </si>
  <si>
    <t xml:space="preserve">datetime</t>
  </si>
  <si>
    <t xml:space="preserve">Auto-deleted after 30 days</t>
  </si>
  <si>
    <t xml:space="preserve">rules</t>
  </si>
  <si>
    <t xml:space="preserve">name</t>
  </si>
  <si>
    <t xml:space="preserve">stage</t>
  </si>
  <si>
    <t xml:space="preserve">checkout / after_order</t>
  </si>
  <si>
    <t xml:space="preserve">match</t>
  </si>
  <si>
    <t xml:space="preserve">all / any</t>
  </si>
  <si>
    <t xml:space="preserve">conditions</t>
  </si>
  <si>
    <t xml:space="preserve">List of field + operator + value</t>
  </si>
  <si>
    <t xml:space="preserve">actions</t>
  </si>
  <si>
    <t xml:space="preserve">hide_payment / review / cancel (+refund, restock, email) / tag / alert</t>
  </si>
  <si>
    <t xml:space="preserve">status</t>
  </si>
  <si>
    <t xml:space="preserve">live / test / off</t>
  </si>
  <si>
    <t xml:space="preserve">priority</t>
  </si>
  <si>
    <t xml:space="preserve">times_triggered / last_triggered_at</t>
  </si>
  <si>
    <t xml:space="preserve">int / datetime</t>
  </si>
  <si>
    <t xml:space="preserve">Shown on the Rules page</t>
  </si>
  <si>
    <t xml:space="preserve">order_checks</t>
  </si>
  <si>
    <t xml:space="preserve">order_id / order_name</t>
  </si>
  <si>
    <t xml:space="preserve">Shopify order</t>
  </si>
  <si>
    <t xml:space="preserve">ip</t>
  </si>
  <si>
    <t xml:space="preserve">Buyer IP from the order</t>
  </si>
  <si>
    <t xml:space="preserve">email_hash / phone_hash</t>
  </si>
  <si>
    <t xml:space="preserve">Scrambled, for velocity checks</t>
  </si>
  <si>
    <t xml:space="preserve">total</t>
  </si>
  <si>
    <t xml:space="preserve">decimal</t>
  </si>
  <si>
    <t xml:space="preserve">matched_rules</t>
  </si>
  <si>
    <t xml:space="preserve">Rules that fired, with reasons</t>
  </si>
  <si>
    <t xml:space="preserve">actions_taken</t>
  </si>
  <si>
    <t xml:space="preserve">passed / review / cancelled / tagged / approved / fraud</t>
  </si>
  <si>
    <t xml:space="preserve">Kept about a year</t>
  </si>
  <si>
    <t xml:space="preserve">fraud_list</t>
  </si>
  <si>
    <t xml:space="preserve">type</t>
  </si>
  <si>
    <t xml:space="preserve">email / phone / address</t>
  </si>
  <si>
    <t xml:space="preserve">value_hash</t>
  </si>
  <si>
    <t xml:space="preserve">Cleaned then scrambled</t>
  </si>
  <si>
    <t xml:space="preserve">order_id</t>
  </si>
  <si>
    <t xml:space="preserve">Order marked as fraud</t>
  </si>
  <si>
    <t xml:space="preserve">staff_actions</t>
  </si>
  <si>
    <t xml:space="preserve">approve / cancel / mark_fraud / unblock</t>
  </si>
  <si>
    <t xml:space="preserve">note</t>
  </si>
  <si>
    <t xml:space="preserve">allowlist</t>
  </si>
  <si>
    <t xml:space="preserve">ip / device / customer / email</t>
  </si>
  <si>
    <t xml:space="preserve">value</t>
  </si>
  <si>
    <t xml:space="preserve">reason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</si>
</sst>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/>
      <c r="C4" s="3"/>
      <c r="D4" s="3"/>
      <c r="E4" s="4" t="n">
        <f aca="false">SUM(E5:E15)</f>
        <v>18</v>
      </c>
    </row>
    <row r="5" customFormat="false" ht="39.55" hidden="false" customHeight="false" outlineLevel="0" collapsed="false">
      <c r="A5" s="5"/>
      <c r="B5" s="5" t="s">
        <v>7</v>
      </c>
      <c r="C5" s="5" t="s">
        <v>8</v>
      </c>
      <c r="D5" s="5" t="s">
        <v>9</v>
      </c>
      <c r="E5" s="6" t="n">
        <v>2.5</v>
      </c>
    </row>
    <row r="6" customFormat="false" ht="15" hidden="false" customHeight="false" outlineLevel="0" collapsed="false">
      <c r="A6" s="5"/>
      <c r="B6" s="5" t="s">
        <v>10</v>
      </c>
      <c r="C6" s="5" t="s">
        <v>11</v>
      </c>
      <c r="D6" s="5" t="s">
        <v>12</v>
      </c>
      <c r="E6" s="6" t="n">
        <v>2</v>
      </c>
    </row>
    <row r="7" customFormat="false" ht="15" hidden="false" customHeight="false" outlineLevel="0" collapsed="false">
      <c r="A7" s="5"/>
      <c r="B7" s="5" t="s">
        <v>13</v>
      </c>
      <c r="C7" s="5" t="s">
        <v>14</v>
      </c>
      <c r="D7" s="5" t="s">
        <v>12</v>
      </c>
      <c r="E7" s="6" t="n">
        <v>1.5</v>
      </c>
    </row>
    <row r="8" customFormat="false" ht="15" hidden="false" customHeight="false" outlineLevel="0" collapsed="false">
      <c r="A8" s="5"/>
      <c r="B8" s="5" t="s">
        <v>15</v>
      </c>
      <c r="C8" s="5" t="s">
        <v>16</v>
      </c>
      <c r="D8" s="5" t="s">
        <v>12</v>
      </c>
      <c r="E8" s="6" t="n">
        <v>1.5</v>
      </c>
    </row>
    <row r="9" customFormat="false" ht="26.85" hidden="false" customHeight="false" outlineLevel="0" collapsed="false">
      <c r="A9" s="5"/>
      <c r="B9" s="5" t="s">
        <v>17</v>
      </c>
      <c r="C9" s="5" t="s">
        <v>18</v>
      </c>
      <c r="D9" s="5" t="s">
        <v>19</v>
      </c>
      <c r="E9" s="6" t="n">
        <v>1.5</v>
      </c>
    </row>
    <row r="10" customFormat="false" ht="15" hidden="false" customHeight="false" outlineLevel="0" collapsed="false">
      <c r="A10" s="5"/>
      <c r="B10" s="5" t="s">
        <v>20</v>
      </c>
      <c r="C10" s="5" t="s">
        <v>21</v>
      </c>
      <c r="D10" s="5" t="s">
        <v>22</v>
      </c>
      <c r="E10" s="6" t="n">
        <v>2.5</v>
      </c>
    </row>
    <row r="11" customFormat="false" ht="15" hidden="false" customHeight="false" outlineLevel="0" collapsed="false">
      <c r="A11" s="5"/>
      <c r="B11" s="5" t="s">
        <v>23</v>
      </c>
      <c r="C11" s="5" t="s">
        <v>24</v>
      </c>
      <c r="D11" s="5" t="s">
        <v>25</v>
      </c>
      <c r="E11" s="6" t="n">
        <v>0.5</v>
      </c>
    </row>
    <row r="12" customFormat="false" ht="15" hidden="false" customHeight="false" outlineLevel="0" collapsed="false">
      <c r="A12" s="5"/>
      <c r="B12" s="5" t="s">
        <v>26</v>
      </c>
      <c r="C12" s="5" t="s">
        <v>27</v>
      </c>
      <c r="D12" s="5" t="s">
        <v>28</v>
      </c>
      <c r="E12" s="6" t="n">
        <v>1</v>
      </c>
    </row>
    <row r="13" customFormat="false" ht="15" hidden="false" customHeight="false" outlineLevel="0" collapsed="false">
      <c r="A13" s="5"/>
      <c r="B13" s="5" t="s">
        <v>29</v>
      </c>
      <c r="C13" s="5" t="s">
        <v>30</v>
      </c>
      <c r="D13" s="5" t="s">
        <v>12</v>
      </c>
      <c r="E13" s="6" t="n">
        <v>1</v>
      </c>
    </row>
    <row r="14" customFormat="false" ht="26.85" hidden="false" customHeight="false" outlineLevel="0" collapsed="false">
      <c r="A14" s="5"/>
      <c r="B14" s="5" t="s">
        <v>31</v>
      </c>
      <c r="C14" s="5" t="s">
        <v>32</v>
      </c>
      <c r="D14" s="5" t="s">
        <v>33</v>
      </c>
      <c r="E14" s="6" t="n">
        <v>1.5</v>
      </c>
    </row>
    <row r="15" customFormat="false" ht="26.85" hidden="false" customHeight="false" outlineLevel="0" collapsed="false">
      <c r="A15" s="5"/>
      <c r="B15" s="5" t="s">
        <v>34</v>
      </c>
      <c r="C15" s="5" t="s">
        <v>35</v>
      </c>
      <c r="D15" s="5" t="s">
        <v>12</v>
      </c>
      <c r="E15" s="6" t="n">
        <v>2.5</v>
      </c>
    </row>
    <row r="16" customFormat="false" ht="15" hidden="false" customHeight="false" outlineLevel="0" collapsed="false">
      <c r="A16" s="3" t="s">
        <v>36</v>
      </c>
      <c r="B16" s="3"/>
      <c r="C16" s="3"/>
      <c r="D16" s="3"/>
      <c r="E16" s="4" t="n">
        <f aca="false">SUM(E17:E30)</f>
        <v>23</v>
      </c>
    </row>
    <row r="17" customFormat="false" ht="15" hidden="false" customHeight="false" outlineLevel="0" collapsed="false">
      <c r="A17" s="5"/>
      <c r="B17" s="5" t="s">
        <v>37</v>
      </c>
      <c r="C17" s="5" t="s">
        <v>38</v>
      </c>
      <c r="D17" s="5" t="s">
        <v>12</v>
      </c>
      <c r="E17" s="6" t="n">
        <v>1</v>
      </c>
    </row>
    <row r="18" customFormat="false" ht="26.85" hidden="false" customHeight="false" outlineLevel="0" collapsed="false">
      <c r="A18" s="5"/>
      <c r="B18" s="5" t="s">
        <v>39</v>
      </c>
      <c r="C18" s="5" t="s">
        <v>40</v>
      </c>
      <c r="D18" s="5" t="s">
        <v>41</v>
      </c>
      <c r="E18" s="6" t="n">
        <v>2.5</v>
      </c>
    </row>
    <row r="19" customFormat="false" ht="26.85" hidden="false" customHeight="false" outlineLevel="0" collapsed="false">
      <c r="A19" s="5"/>
      <c r="B19" s="5" t="s">
        <v>42</v>
      </c>
      <c r="C19" s="5" t="s">
        <v>43</v>
      </c>
      <c r="D19" s="5" t="s">
        <v>44</v>
      </c>
      <c r="E19" s="6" t="n">
        <v>4</v>
      </c>
    </row>
    <row r="20" customFormat="false" ht="39.55" hidden="false" customHeight="false" outlineLevel="0" collapsed="false">
      <c r="A20" s="5"/>
      <c r="B20" s="5" t="s">
        <v>45</v>
      </c>
      <c r="C20" s="5" t="s">
        <v>46</v>
      </c>
      <c r="D20" s="5" t="s">
        <v>47</v>
      </c>
      <c r="E20" s="6" t="n">
        <v>1.5</v>
      </c>
    </row>
    <row r="21" customFormat="false" ht="26.85" hidden="false" customHeight="false" outlineLevel="0" collapsed="false">
      <c r="A21" s="5"/>
      <c r="B21" s="5" t="s">
        <v>48</v>
      </c>
      <c r="C21" s="5" t="s">
        <v>49</v>
      </c>
      <c r="D21" s="5" t="s">
        <v>12</v>
      </c>
      <c r="E21" s="6" t="n">
        <v>2</v>
      </c>
    </row>
    <row r="22" customFormat="false" ht="26.85" hidden="false" customHeight="false" outlineLevel="0" collapsed="false">
      <c r="A22" s="5"/>
      <c r="B22" s="5" t="s">
        <v>50</v>
      </c>
      <c r="C22" s="5" t="s">
        <v>51</v>
      </c>
      <c r="D22" s="5" t="s">
        <v>52</v>
      </c>
      <c r="E22" s="6" t="n">
        <v>1</v>
      </c>
    </row>
    <row r="23" customFormat="false" ht="15" hidden="false" customHeight="false" outlineLevel="0" collapsed="false">
      <c r="A23" s="5"/>
      <c r="B23" s="5" t="s">
        <v>53</v>
      </c>
      <c r="C23" s="5" t="s">
        <v>54</v>
      </c>
      <c r="D23" s="5" t="s">
        <v>55</v>
      </c>
      <c r="E23" s="6" t="n">
        <v>1.5</v>
      </c>
    </row>
    <row r="24" customFormat="false" ht="15" hidden="false" customHeight="false" outlineLevel="0" collapsed="false">
      <c r="A24" s="5"/>
      <c r="B24" s="5" t="s">
        <v>56</v>
      </c>
      <c r="C24" s="5" t="s">
        <v>57</v>
      </c>
      <c r="D24" s="5" t="s">
        <v>58</v>
      </c>
      <c r="E24" s="6" t="n">
        <v>1.5</v>
      </c>
    </row>
    <row r="25" customFormat="false" ht="15" hidden="false" customHeight="false" outlineLevel="0" collapsed="false">
      <c r="A25" s="5"/>
      <c r="B25" s="5" t="s">
        <v>59</v>
      </c>
      <c r="C25" s="5" t="s">
        <v>60</v>
      </c>
      <c r="D25" s="5" t="s">
        <v>12</v>
      </c>
      <c r="E25" s="6" t="n">
        <v>1.5</v>
      </c>
    </row>
    <row r="26" customFormat="false" ht="15" hidden="false" customHeight="false" outlineLevel="0" collapsed="false">
      <c r="A26" s="5"/>
      <c r="B26" s="5" t="s">
        <v>61</v>
      </c>
      <c r="C26" s="5" t="s">
        <v>62</v>
      </c>
      <c r="D26" s="5" t="s">
        <v>12</v>
      </c>
      <c r="E26" s="6" t="n">
        <v>0.5</v>
      </c>
    </row>
    <row r="27" customFormat="false" ht="15" hidden="false" customHeight="false" outlineLevel="0" collapsed="false">
      <c r="A27" s="5"/>
      <c r="B27" s="7" t="s">
        <v>63</v>
      </c>
      <c r="C27" s="5" t="s">
        <v>64</v>
      </c>
      <c r="D27" s="5" t="s">
        <v>12</v>
      </c>
      <c r="E27" s="6" t="n">
        <v>0.5</v>
      </c>
    </row>
    <row r="28" customFormat="false" ht="15" hidden="false" customHeight="false" outlineLevel="0" collapsed="false">
      <c r="A28" s="5"/>
      <c r="B28" s="5" t="s">
        <v>65</v>
      </c>
      <c r="C28" s="5" t="s">
        <v>66</v>
      </c>
      <c r="D28" s="5" t="s">
        <v>12</v>
      </c>
      <c r="E28" s="6" t="n">
        <v>0.5</v>
      </c>
    </row>
    <row r="29" customFormat="false" ht="15" hidden="false" customHeight="false" outlineLevel="0" collapsed="false">
      <c r="A29" s="5"/>
      <c r="B29" s="5" t="s">
        <v>67</v>
      </c>
      <c r="C29" s="5" t="s">
        <v>68</v>
      </c>
      <c r="D29" s="5" t="s">
        <v>69</v>
      </c>
      <c r="E29" s="6" t="n">
        <v>1</v>
      </c>
    </row>
    <row r="30" customFormat="false" ht="26.85" hidden="false" customHeight="false" outlineLevel="0" collapsed="false">
      <c r="A30" s="5"/>
      <c r="B30" s="5" t="s">
        <v>34</v>
      </c>
      <c r="C30" s="5" t="s">
        <v>70</v>
      </c>
      <c r="D30" s="5" t="s">
        <v>12</v>
      </c>
      <c r="E30" s="6" t="n">
        <v>4</v>
      </c>
    </row>
    <row r="31" customFormat="false" ht="15" hidden="false" customHeight="false" outlineLevel="0" collapsed="false">
      <c r="A31" s="3" t="s">
        <v>71</v>
      </c>
      <c r="B31" s="3"/>
      <c r="C31" s="3"/>
      <c r="D31" s="3"/>
      <c r="E31" s="4" t="n">
        <f aca="false">SUM(E32:E43)</f>
        <v>19</v>
      </c>
    </row>
    <row r="32" customFormat="false" ht="15" hidden="false" customHeight="false" outlineLevel="0" collapsed="false">
      <c r="A32" s="5"/>
      <c r="B32" s="5" t="s">
        <v>72</v>
      </c>
      <c r="C32" s="5" t="s">
        <v>73</v>
      </c>
      <c r="D32" s="5" t="s">
        <v>12</v>
      </c>
      <c r="E32" s="6" t="n">
        <v>0.5</v>
      </c>
    </row>
    <row r="33" customFormat="false" ht="15" hidden="false" customHeight="false" outlineLevel="0" collapsed="false">
      <c r="A33" s="5"/>
      <c r="B33" s="5" t="s">
        <v>74</v>
      </c>
      <c r="C33" s="5" t="s">
        <v>75</v>
      </c>
      <c r="D33" s="5" t="s">
        <v>12</v>
      </c>
      <c r="E33" s="6" t="n">
        <v>1.5</v>
      </c>
    </row>
    <row r="34" customFormat="false" ht="15" hidden="false" customHeight="false" outlineLevel="0" collapsed="false">
      <c r="A34" s="5"/>
      <c r="B34" s="5" t="s">
        <v>76</v>
      </c>
      <c r="C34" s="5" t="s">
        <v>77</v>
      </c>
      <c r="D34" s="5" t="s">
        <v>12</v>
      </c>
      <c r="E34" s="6" t="n">
        <v>3.5</v>
      </c>
    </row>
    <row r="35" customFormat="false" ht="15" hidden="false" customHeight="false" outlineLevel="0" collapsed="false">
      <c r="A35" s="5"/>
      <c r="B35" s="7" t="s">
        <v>78</v>
      </c>
      <c r="C35" s="5" t="s">
        <v>79</v>
      </c>
      <c r="D35" s="5" t="s">
        <v>12</v>
      </c>
      <c r="E35" s="6" t="n">
        <v>1</v>
      </c>
    </row>
    <row r="36" customFormat="false" ht="15" hidden="false" customHeight="false" outlineLevel="0" collapsed="false">
      <c r="A36" s="5"/>
      <c r="B36" s="5" t="s">
        <v>80</v>
      </c>
      <c r="C36" s="5" t="s">
        <v>81</v>
      </c>
      <c r="D36" s="5" t="s">
        <v>12</v>
      </c>
      <c r="E36" s="6" t="n">
        <v>1.5</v>
      </c>
    </row>
    <row r="37" customFormat="false" ht="15" hidden="false" customHeight="false" outlineLevel="0" collapsed="false">
      <c r="A37" s="5"/>
      <c r="B37" s="5" t="s">
        <v>82</v>
      </c>
      <c r="C37" s="5" t="s">
        <v>83</v>
      </c>
      <c r="D37" s="5" t="s">
        <v>84</v>
      </c>
      <c r="E37" s="6" t="n">
        <v>2</v>
      </c>
    </row>
    <row r="38" customFormat="false" ht="26.85" hidden="false" customHeight="false" outlineLevel="0" collapsed="false">
      <c r="A38" s="5"/>
      <c r="B38" s="5" t="s">
        <v>85</v>
      </c>
      <c r="C38" s="5" t="s">
        <v>86</v>
      </c>
      <c r="D38" s="5" t="s">
        <v>87</v>
      </c>
      <c r="E38" s="6" t="n">
        <v>1.5</v>
      </c>
    </row>
    <row r="39" customFormat="false" ht="15" hidden="false" customHeight="false" outlineLevel="0" collapsed="false">
      <c r="A39" s="5"/>
      <c r="B39" s="5" t="s">
        <v>88</v>
      </c>
      <c r="C39" s="5" t="s">
        <v>89</v>
      </c>
      <c r="D39" s="5" t="s">
        <v>90</v>
      </c>
      <c r="E39" s="6" t="n">
        <v>1</v>
      </c>
    </row>
    <row r="40" customFormat="false" ht="15" hidden="false" customHeight="false" outlineLevel="0" collapsed="false">
      <c r="A40" s="5"/>
      <c r="B40" s="5" t="s">
        <v>91</v>
      </c>
      <c r="C40" s="5" t="s">
        <v>92</v>
      </c>
      <c r="D40" s="5" t="s">
        <v>93</v>
      </c>
      <c r="E40" s="6" t="n">
        <v>1</v>
      </c>
    </row>
    <row r="41" customFormat="false" ht="15" hidden="false" customHeight="false" outlineLevel="0" collapsed="false">
      <c r="A41" s="5"/>
      <c r="B41" s="7" t="s">
        <v>94</v>
      </c>
      <c r="C41" s="5" t="s">
        <v>95</v>
      </c>
      <c r="D41" s="5" t="s">
        <v>12</v>
      </c>
      <c r="E41" s="6" t="n">
        <v>1</v>
      </c>
    </row>
    <row r="42" customFormat="false" ht="26.85" hidden="false" customHeight="false" outlineLevel="0" collapsed="false">
      <c r="A42" s="5"/>
      <c r="B42" s="5" t="s">
        <v>96</v>
      </c>
      <c r="C42" s="5" t="s">
        <v>97</v>
      </c>
      <c r="D42" s="5" t="s">
        <v>98</v>
      </c>
      <c r="E42" s="6" t="n">
        <v>2</v>
      </c>
    </row>
    <row r="43" customFormat="false" ht="26.85" hidden="false" customHeight="false" outlineLevel="0" collapsed="false">
      <c r="A43" s="5"/>
      <c r="B43" s="5" t="s">
        <v>34</v>
      </c>
      <c r="C43" s="5" t="s">
        <v>99</v>
      </c>
      <c r="D43" s="5" t="s">
        <v>12</v>
      </c>
      <c r="E43" s="6" t="n">
        <v>2.5</v>
      </c>
    </row>
    <row r="44" customFormat="false" ht="15" hidden="false" customHeight="false" outlineLevel="0" collapsed="false">
      <c r="A44" s="8" t="s">
        <v>100</v>
      </c>
      <c r="B44" s="8"/>
      <c r="C44" s="8"/>
      <c r="D44" s="8"/>
      <c r="E44" s="9" t="n">
        <f aca="false">E4+E16+E31</f>
        <v>60</v>
      </c>
    </row>
    <row r="45" customFormat="false" ht="15" hidden="false" customHeight="false" outlineLevel="0" collapsed="false">
      <c r="A45" s="8" t="s">
        <v>101</v>
      </c>
      <c r="B45" s="8"/>
      <c r="C45" s="8"/>
      <c r="D45" s="8"/>
      <c r="E45" s="9" t="n">
        <f aca="false">E27+E35+E41</f>
        <v>2.5</v>
      </c>
    </row>
    <row r="46" customFormat="false" ht="15" hidden="false" customHeight="false" outlineLevel="0" collapsed="false">
      <c r="A46" s="8" t="s">
        <v>102</v>
      </c>
      <c r="B46" s="8"/>
      <c r="C46" s="8"/>
      <c r="D46" s="8"/>
      <c r="E46" s="9" t="n">
        <f aca="false">E44-E45</f>
        <v>57.5</v>
      </c>
    </row>
    <row r="48" customFormat="false" ht="15" hidden="false" customHeight="false" outlineLevel="0" collapsed="false">
      <c r="A48" s="10" t="s">
        <v>103</v>
      </c>
    </row>
    <row r="49" customFormat="false" ht="15" hidden="false" customHeight="false" outlineLevel="0" collapsed="false">
      <c r="A49" s="10" t="s">
        <v>104</v>
      </c>
    </row>
    <row r="50" customFormat="false" ht="15" hidden="false" customHeight="false" outlineLevel="0" collapsed="false">
      <c r="A50" s="10" t="s">
        <v>105</v>
      </c>
    </row>
    <row r="51" customFormat="false" ht="15" hidden="false" customHeight="false" outlineLevel="0" collapsed="false">
      <c r="A51" s="10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107</v>
      </c>
    </row>
    <row r="3" customFormat="false" ht="15" hidden="false" customHeight="false" outlineLevel="0" collapsed="false">
      <c r="A3" s="11" t="s">
        <v>108</v>
      </c>
      <c r="B3" s="11" t="s">
        <v>109</v>
      </c>
      <c r="C3" s="11" t="s">
        <v>110</v>
      </c>
      <c r="D3" s="11" t="s">
        <v>111</v>
      </c>
      <c r="E3" s="11" t="s">
        <v>112</v>
      </c>
    </row>
    <row r="4" customFormat="false" ht="15" hidden="false" customHeight="false" outlineLevel="0" collapsed="false">
      <c r="A4" s="3" t="s">
        <v>113</v>
      </c>
      <c r="B4" s="3" t="s">
        <v>7</v>
      </c>
      <c r="C4" s="12" t="s">
        <v>114</v>
      </c>
      <c r="D4" s="12"/>
      <c r="E4" s="12" t="s">
        <v>115</v>
      </c>
    </row>
    <row r="5" customFormat="false" ht="15" hidden="false" customHeight="false" outlineLevel="0" collapsed="false">
      <c r="A5" s="3" t="s">
        <v>116</v>
      </c>
      <c r="B5" s="3" t="s">
        <v>7</v>
      </c>
      <c r="C5" s="12" t="s">
        <v>117</v>
      </c>
      <c r="D5" s="12" t="s">
        <v>118</v>
      </c>
      <c r="E5" s="12" t="s">
        <v>119</v>
      </c>
    </row>
    <row r="6" customFormat="false" ht="15" hidden="false" customHeight="false" outlineLevel="0" collapsed="false">
      <c r="A6" s="13"/>
      <c r="B6" s="13"/>
      <c r="C6" s="13" t="s">
        <v>120</v>
      </c>
      <c r="D6" s="13" t="s">
        <v>121</v>
      </c>
      <c r="E6" s="13" t="s">
        <v>122</v>
      </c>
    </row>
    <row r="7" customFormat="false" ht="15" hidden="false" customHeight="false" outlineLevel="0" collapsed="false">
      <c r="A7" s="13"/>
      <c r="B7" s="13"/>
      <c r="C7" s="13" t="s">
        <v>123</v>
      </c>
      <c r="D7" s="13" t="s">
        <v>121</v>
      </c>
      <c r="E7" s="13" t="s">
        <v>124</v>
      </c>
    </row>
    <row r="8" customFormat="false" ht="15" hidden="false" customHeight="false" outlineLevel="0" collapsed="false">
      <c r="A8" s="13"/>
      <c r="B8" s="13"/>
      <c r="C8" s="13" t="s">
        <v>125</v>
      </c>
      <c r="D8" s="13" t="s">
        <v>121</v>
      </c>
      <c r="E8" s="13" t="s">
        <v>126</v>
      </c>
    </row>
    <row r="9" customFormat="false" ht="15" hidden="false" customHeight="false" outlineLevel="0" collapsed="false">
      <c r="A9" s="13"/>
      <c r="B9" s="13"/>
      <c r="C9" s="13" t="s">
        <v>127</v>
      </c>
      <c r="D9" s="13" t="s">
        <v>128</v>
      </c>
      <c r="E9" s="13" t="s">
        <v>129</v>
      </c>
    </row>
    <row r="10" customFormat="false" ht="15" hidden="false" customHeight="false" outlineLevel="0" collapsed="false">
      <c r="A10" s="13"/>
      <c r="B10" s="13"/>
      <c r="C10" s="13" t="s">
        <v>130</v>
      </c>
      <c r="D10" s="13" t="s">
        <v>131</v>
      </c>
      <c r="E10" s="13" t="s">
        <v>132</v>
      </c>
    </row>
    <row r="11" customFormat="false" ht="15" hidden="false" customHeight="false" outlineLevel="0" collapsed="false">
      <c r="A11" s="3" t="s">
        <v>133</v>
      </c>
      <c r="B11" s="3" t="s">
        <v>17</v>
      </c>
      <c r="C11" s="12" t="s">
        <v>134</v>
      </c>
      <c r="D11" s="12" t="s">
        <v>135</v>
      </c>
      <c r="E11" s="12"/>
    </row>
    <row r="12" customFormat="false" ht="15" hidden="false" customHeight="false" outlineLevel="0" collapsed="false">
      <c r="A12" s="13"/>
      <c r="B12" s="13"/>
      <c r="C12" s="13" t="s">
        <v>117</v>
      </c>
      <c r="D12" s="13" t="s">
        <v>131</v>
      </c>
      <c r="E12" s="13"/>
    </row>
    <row r="13" customFormat="false" ht="15" hidden="false" customHeight="false" outlineLevel="0" collapsed="false">
      <c r="A13" s="13"/>
      <c r="B13" s="13"/>
      <c r="C13" s="13" t="s">
        <v>136</v>
      </c>
      <c r="D13" s="13" t="s">
        <v>131</v>
      </c>
      <c r="E13" s="13" t="s">
        <v>137</v>
      </c>
    </row>
    <row r="14" customFormat="false" ht="15" hidden="false" customHeight="false" outlineLevel="0" collapsed="false">
      <c r="A14" s="13"/>
      <c r="B14" s="13"/>
      <c r="C14" s="13" t="s">
        <v>138</v>
      </c>
      <c r="D14" s="13" t="s">
        <v>131</v>
      </c>
      <c r="E14" s="13" t="s">
        <v>139</v>
      </c>
    </row>
    <row r="15" customFormat="false" ht="15" hidden="false" customHeight="false" outlineLevel="0" collapsed="false">
      <c r="A15" s="13"/>
      <c r="B15" s="13"/>
      <c r="C15" s="13" t="s">
        <v>140</v>
      </c>
      <c r="D15" s="13" t="s">
        <v>131</v>
      </c>
      <c r="E15" s="13"/>
    </row>
    <row r="16" customFormat="false" ht="15" hidden="false" customHeight="false" outlineLevel="0" collapsed="false">
      <c r="A16" s="13"/>
      <c r="B16" s="13"/>
      <c r="C16" s="13" t="s">
        <v>141</v>
      </c>
      <c r="D16" s="13" t="s">
        <v>121</v>
      </c>
      <c r="E16" s="13" t="s">
        <v>142</v>
      </c>
    </row>
    <row r="17" customFormat="false" ht="15" hidden="false" customHeight="false" outlineLevel="0" collapsed="false">
      <c r="A17" s="13"/>
      <c r="B17" s="13"/>
      <c r="C17" s="13" t="s">
        <v>143</v>
      </c>
      <c r="D17" s="13" t="s">
        <v>131</v>
      </c>
      <c r="E17" s="13" t="s">
        <v>144</v>
      </c>
    </row>
    <row r="18" customFormat="false" ht="15" hidden="false" customHeight="false" outlineLevel="0" collapsed="false">
      <c r="A18" s="13"/>
      <c r="B18" s="13"/>
      <c r="C18" s="13" t="s">
        <v>145</v>
      </c>
      <c r="D18" s="13" t="s">
        <v>146</v>
      </c>
      <c r="E18" s="13" t="s">
        <v>147</v>
      </c>
    </row>
    <row r="19" customFormat="false" ht="15" hidden="false" customHeight="false" outlineLevel="0" collapsed="false">
      <c r="A19" s="3" t="s">
        <v>148</v>
      </c>
      <c r="B19" s="3" t="s">
        <v>39</v>
      </c>
      <c r="C19" s="12" t="s">
        <v>134</v>
      </c>
      <c r="D19" s="12" t="s">
        <v>135</v>
      </c>
      <c r="E19" s="12"/>
    </row>
    <row r="20" customFormat="false" ht="15" hidden="false" customHeight="false" outlineLevel="0" collapsed="false">
      <c r="A20" s="13"/>
      <c r="B20" s="13"/>
      <c r="C20" s="13" t="s">
        <v>117</v>
      </c>
      <c r="D20" s="13" t="s">
        <v>131</v>
      </c>
      <c r="E20" s="13"/>
    </row>
    <row r="21" customFormat="false" ht="15" hidden="false" customHeight="false" outlineLevel="0" collapsed="false">
      <c r="A21" s="13"/>
      <c r="B21" s="13"/>
      <c r="C21" s="13" t="s">
        <v>149</v>
      </c>
      <c r="D21" s="13" t="s">
        <v>131</v>
      </c>
      <c r="E21" s="13"/>
    </row>
    <row r="22" customFormat="false" ht="15" hidden="false" customHeight="false" outlineLevel="0" collapsed="false">
      <c r="A22" s="13"/>
      <c r="B22" s="13"/>
      <c r="C22" s="13" t="s">
        <v>150</v>
      </c>
      <c r="D22" s="13" t="s">
        <v>131</v>
      </c>
      <c r="E22" s="13" t="s">
        <v>151</v>
      </c>
    </row>
    <row r="23" customFormat="false" ht="15" hidden="false" customHeight="false" outlineLevel="0" collapsed="false">
      <c r="A23" s="13"/>
      <c r="B23" s="13"/>
      <c r="C23" s="13" t="s">
        <v>152</v>
      </c>
      <c r="D23" s="13" t="s">
        <v>131</v>
      </c>
      <c r="E23" s="13" t="s">
        <v>153</v>
      </c>
    </row>
    <row r="24" customFormat="false" ht="15" hidden="false" customHeight="false" outlineLevel="0" collapsed="false">
      <c r="A24" s="13"/>
      <c r="B24" s="13"/>
      <c r="C24" s="13" t="s">
        <v>154</v>
      </c>
      <c r="D24" s="13" t="s">
        <v>121</v>
      </c>
      <c r="E24" s="13" t="s">
        <v>155</v>
      </c>
    </row>
    <row r="25" customFormat="false" ht="15" hidden="false" customHeight="false" outlineLevel="0" collapsed="false">
      <c r="A25" s="13"/>
      <c r="B25" s="13"/>
      <c r="C25" s="13" t="s">
        <v>156</v>
      </c>
      <c r="D25" s="13" t="s">
        <v>121</v>
      </c>
      <c r="E25" s="13" t="s">
        <v>157</v>
      </c>
    </row>
    <row r="26" customFormat="false" ht="15" hidden="false" customHeight="false" outlineLevel="0" collapsed="false">
      <c r="A26" s="13"/>
      <c r="B26" s="13"/>
      <c r="C26" s="13" t="s">
        <v>158</v>
      </c>
      <c r="D26" s="13" t="s">
        <v>131</v>
      </c>
      <c r="E26" s="13" t="s">
        <v>159</v>
      </c>
    </row>
    <row r="27" customFormat="false" ht="15" hidden="false" customHeight="false" outlineLevel="0" collapsed="false">
      <c r="A27" s="13"/>
      <c r="B27" s="13"/>
      <c r="C27" s="13" t="s">
        <v>160</v>
      </c>
      <c r="D27" s="13" t="s">
        <v>128</v>
      </c>
      <c r="E27" s="13"/>
    </row>
    <row r="28" customFormat="false" ht="15" hidden="false" customHeight="false" outlineLevel="0" collapsed="false">
      <c r="A28" s="13"/>
      <c r="B28" s="13"/>
      <c r="C28" s="13" t="s">
        <v>161</v>
      </c>
      <c r="D28" s="13" t="s">
        <v>162</v>
      </c>
      <c r="E28" s="13" t="s">
        <v>163</v>
      </c>
    </row>
    <row r="29" customFormat="false" ht="15" hidden="false" customHeight="false" outlineLevel="0" collapsed="false">
      <c r="A29" s="3" t="s">
        <v>164</v>
      </c>
      <c r="B29" s="3" t="s">
        <v>45</v>
      </c>
      <c r="C29" s="12" t="s">
        <v>134</v>
      </c>
      <c r="D29" s="12" t="s">
        <v>135</v>
      </c>
      <c r="E29" s="12"/>
    </row>
    <row r="30" customFormat="false" ht="15" hidden="false" customHeight="false" outlineLevel="0" collapsed="false">
      <c r="A30" s="13"/>
      <c r="B30" s="13"/>
      <c r="C30" s="13" t="s">
        <v>117</v>
      </c>
      <c r="D30" s="13" t="s">
        <v>131</v>
      </c>
      <c r="E30" s="13"/>
    </row>
    <row r="31" customFormat="false" ht="15" hidden="false" customHeight="false" outlineLevel="0" collapsed="false">
      <c r="A31" s="13"/>
      <c r="B31" s="13"/>
      <c r="C31" s="13" t="s">
        <v>165</v>
      </c>
      <c r="D31" s="13" t="s">
        <v>131</v>
      </c>
      <c r="E31" s="13" t="s">
        <v>166</v>
      </c>
    </row>
    <row r="32" customFormat="false" ht="15" hidden="false" customHeight="false" outlineLevel="0" collapsed="false">
      <c r="A32" s="13"/>
      <c r="B32" s="13"/>
      <c r="C32" s="13" t="s">
        <v>167</v>
      </c>
      <c r="D32" s="13" t="s">
        <v>131</v>
      </c>
      <c r="E32" s="13" t="s">
        <v>168</v>
      </c>
    </row>
    <row r="33" customFormat="false" ht="15" hidden="false" customHeight="false" outlineLevel="0" collapsed="false">
      <c r="A33" s="13"/>
      <c r="B33" s="13"/>
      <c r="C33" s="13" t="s">
        <v>169</v>
      </c>
      <c r="D33" s="13" t="s">
        <v>131</v>
      </c>
      <c r="E33" s="13" t="s">
        <v>170</v>
      </c>
    </row>
    <row r="34" customFormat="false" ht="15" hidden="false" customHeight="false" outlineLevel="0" collapsed="false">
      <c r="A34" s="13"/>
      <c r="B34" s="13"/>
      <c r="C34" s="13" t="s">
        <v>171</v>
      </c>
      <c r="D34" s="13" t="s">
        <v>172</v>
      </c>
      <c r="E34" s="13"/>
    </row>
    <row r="35" customFormat="false" ht="15" hidden="false" customHeight="false" outlineLevel="0" collapsed="false">
      <c r="A35" s="13"/>
      <c r="B35" s="13"/>
      <c r="C35" s="13" t="s">
        <v>173</v>
      </c>
      <c r="D35" s="13" t="s">
        <v>121</v>
      </c>
      <c r="E35" s="13" t="s">
        <v>174</v>
      </c>
    </row>
    <row r="36" customFormat="false" ht="15" hidden="false" customHeight="false" outlineLevel="0" collapsed="false">
      <c r="A36" s="13"/>
      <c r="B36" s="13"/>
      <c r="C36" s="13" t="s">
        <v>175</v>
      </c>
      <c r="D36" s="13" t="s">
        <v>121</v>
      </c>
      <c r="E36" s="13"/>
    </row>
    <row r="37" customFormat="false" ht="15" hidden="false" customHeight="false" outlineLevel="0" collapsed="false">
      <c r="A37" s="13"/>
      <c r="B37" s="13"/>
      <c r="C37" s="13" t="s">
        <v>158</v>
      </c>
      <c r="D37" s="13" t="s">
        <v>131</v>
      </c>
      <c r="E37" s="13" t="s">
        <v>176</v>
      </c>
    </row>
    <row r="38" customFormat="false" ht="15" hidden="false" customHeight="false" outlineLevel="0" collapsed="false">
      <c r="A38" s="13"/>
      <c r="B38" s="13"/>
      <c r="C38" s="13" t="s">
        <v>145</v>
      </c>
      <c r="D38" s="13" t="s">
        <v>146</v>
      </c>
      <c r="E38" s="13" t="s">
        <v>177</v>
      </c>
    </row>
    <row r="39" customFormat="false" ht="15" hidden="false" customHeight="false" outlineLevel="0" collapsed="false">
      <c r="A39" s="3" t="s">
        <v>178</v>
      </c>
      <c r="B39" s="3" t="s">
        <v>53</v>
      </c>
      <c r="C39" s="12" t="s">
        <v>134</v>
      </c>
      <c r="D39" s="12" t="s">
        <v>135</v>
      </c>
      <c r="E39" s="12"/>
    </row>
    <row r="40" customFormat="false" ht="15" hidden="false" customHeight="false" outlineLevel="0" collapsed="false">
      <c r="A40" s="13"/>
      <c r="B40" s="13"/>
      <c r="C40" s="13" t="s">
        <v>117</v>
      </c>
      <c r="D40" s="13" t="s">
        <v>131</v>
      </c>
      <c r="E40" s="13"/>
    </row>
    <row r="41" customFormat="false" ht="15" hidden="false" customHeight="false" outlineLevel="0" collapsed="false">
      <c r="A41" s="13"/>
      <c r="B41" s="13"/>
      <c r="C41" s="13" t="s">
        <v>179</v>
      </c>
      <c r="D41" s="13" t="s">
        <v>131</v>
      </c>
      <c r="E41" s="13" t="s">
        <v>180</v>
      </c>
    </row>
    <row r="42" customFormat="false" ht="15" hidden="false" customHeight="false" outlineLevel="0" collapsed="false">
      <c r="A42" s="13"/>
      <c r="B42" s="13"/>
      <c r="C42" s="13" t="s">
        <v>181</v>
      </c>
      <c r="D42" s="13" t="s">
        <v>131</v>
      </c>
      <c r="E42" s="13" t="s">
        <v>182</v>
      </c>
    </row>
    <row r="43" customFormat="false" ht="15" hidden="false" customHeight="false" outlineLevel="0" collapsed="false">
      <c r="A43" s="13"/>
      <c r="B43" s="13"/>
      <c r="C43" s="13" t="s">
        <v>183</v>
      </c>
      <c r="D43" s="13" t="s">
        <v>131</v>
      </c>
      <c r="E43" s="13" t="s">
        <v>184</v>
      </c>
    </row>
    <row r="44" customFormat="false" ht="15" hidden="false" customHeight="false" outlineLevel="0" collapsed="false">
      <c r="A44" s="13"/>
      <c r="B44" s="13"/>
      <c r="C44" s="13" t="s">
        <v>145</v>
      </c>
      <c r="D44" s="13" t="s">
        <v>146</v>
      </c>
      <c r="E44" s="13"/>
    </row>
    <row r="45" customFormat="false" ht="15" hidden="false" customHeight="false" outlineLevel="0" collapsed="false">
      <c r="A45" s="3" t="s">
        <v>185</v>
      </c>
      <c r="B45" s="3" t="s">
        <v>82</v>
      </c>
      <c r="C45" s="12" t="s">
        <v>134</v>
      </c>
      <c r="D45" s="12" t="s">
        <v>135</v>
      </c>
      <c r="E45" s="12"/>
    </row>
    <row r="46" customFormat="false" ht="15" hidden="false" customHeight="false" outlineLevel="0" collapsed="false">
      <c r="A46" s="13"/>
      <c r="B46" s="13"/>
      <c r="C46" s="13" t="s">
        <v>117</v>
      </c>
      <c r="D46" s="13" t="s">
        <v>131</v>
      </c>
      <c r="E46" s="13"/>
    </row>
    <row r="47" customFormat="false" ht="15" hidden="false" customHeight="false" outlineLevel="0" collapsed="false">
      <c r="A47" s="13"/>
      <c r="B47" s="13"/>
      <c r="C47" s="13" t="s">
        <v>183</v>
      </c>
      <c r="D47" s="13" t="s">
        <v>131</v>
      </c>
      <c r="E47" s="13"/>
    </row>
    <row r="48" customFormat="false" ht="15" hidden="false" customHeight="false" outlineLevel="0" collapsed="false">
      <c r="A48" s="13"/>
      <c r="B48" s="13"/>
      <c r="C48" s="13" t="s">
        <v>143</v>
      </c>
      <c r="D48" s="13" t="s">
        <v>131</v>
      </c>
      <c r="E48" s="13" t="s">
        <v>186</v>
      </c>
    </row>
    <row r="49" customFormat="false" ht="15" hidden="false" customHeight="false" outlineLevel="0" collapsed="false">
      <c r="A49" s="13"/>
      <c r="B49" s="13"/>
      <c r="C49" s="13" t="s">
        <v>187</v>
      </c>
      <c r="D49" s="13" t="s">
        <v>131</v>
      </c>
      <c r="E49" s="13"/>
    </row>
    <row r="50" customFormat="false" ht="15" hidden="false" customHeight="false" outlineLevel="0" collapsed="false">
      <c r="A50" s="13"/>
      <c r="B50" s="13"/>
      <c r="C50" s="13" t="s">
        <v>145</v>
      </c>
      <c r="D50" s="13" t="s">
        <v>146</v>
      </c>
      <c r="E50" s="13"/>
    </row>
    <row r="51" customFormat="false" ht="15" hidden="false" customHeight="false" outlineLevel="0" collapsed="false">
      <c r="A51" s="3" t="s">
        <v>188</v>
      </c>
      <c r="B51" s="3" t="s">
        <v>85</v>
      </c>
      <c r="C51" s="12" t="s">
        <v>134</v>
      </c>
      <c r="D51" s="12" t="s">
        <v>135</v>
      </c>
      <c r="E51" s="12"/>
    </row>
    <row r="52" customFormat="false" ht="15" hidden="false" customHeight="false" outlineLevel="0" collapsed="false">
      <c r="A52" s="13"/>
      <c r="B52" s="13"/>
      <c r="C52" s="13" t="s">
        <v>117</v>
      </c>
      <c r="D52" s="13" t="s">
        <v>131</v>
      </c>
      <c r="E52" s="13"/>
    </row>
    <row r="53" customFormat="false" ht="15" hidden="false" customHeight="false" outlineLevel="0" collapsed="false">
      <c r="A53" s="13"/>
      <c r="B53" s="13"/>
      <c r="C53" s="13" t="s">
        <v>179</v>
      </c>
      <c r="D53" s="13" t="s">
        <v>131</v>
      </c>
      <c r="E53" s="13" t="s">
        <v>189</v>
      </c>
    </row>
    <row r="54" customFormat="false" ht="15" hidden="false" customHeight="false" outlineLevel="0" collapsed="false">
      <c r="A54" s="13"/>
      <c r="B54" s="13"/>
      <c r="C54" s="13" t="s">
        <v>190</v>
      </c>
      <c r="D54" s="13" t="s">
        <v>131</v>
      </c>
      <c r="E54" s="13"/>
    </row>
    <row r="55" customFormat="false" ht="15" hidden="false" customHeight="false" outlineLevel="0" collapsed="false">
      <c r="A55" s="13"/>
      <c r="B55" s="13"/>
      <c r="C55" s="13" t="s">
        <v>191</v>
      </c>
      <c r="D55" s="13" t="s">
        <v>131</v>
      </c>
      <c r="E55" s="13"/>
    </row>
    <row r="56" customFormat="false" ht="15" hidden="false" customHeight="false" outlineLevel="0" collapsed="false">
      <c r="A56" s="13"/>
      <c r="B56" s="13"/>
      <c r="C56" s="13" t="s">
        <v>145</v>
      </c>
      <c r="D56" s="13" t="s">
        <v>146</v>
      </c>
      <c r="E5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2026-10-15T07:24:00Z</dcterms:created>
  <dc:creator>openpyxl</dc:creator>
  <dc:description/>
  <dc:language>en-US</dc:language>
  <cp:lastModifiedBy/>
  <dcterms:modified xsi:type="dcterms:W3CDTF">2026-10-15T07:24:00Z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